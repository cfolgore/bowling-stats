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hidden="1" localSheetId="0" name="_xlnm._FilterDatabase">Sheet1!$A$1:$V$1</definedName>
  </definedNames>
  <calcPr/>
</workbook>
</file>

<file path=xl/sharedStrings.xml><?xml version="1.0" encoding="utf-8"?>
<sst xmlns="http://schemas.openxmlformats.org/spreadsheetml/2006/main" count="254" uniqueCount="227">
  <si>
    <t>PLAYER</t>
  </si>
  <si>
    <t>GAMES</t>
  </si>
  <si>
    <t>C.G's</t>
  </si>
  <si>
    <t>HI GAME</t>
  </si>
  <si>
    <t>HI SET</t>
  </si>
  <si>
    <t>PINFALL</t>
  </si>
  <si>
    <t>AVG</t>
  </si>
  <si>
    <t>FRAMES</t>
  </si>
  <si>
    <t>Strike</t>
  </si>
  <si>
    <t>Strike %</t>
  </si>
  <si>
    <t>Doubles</t>
  </si>
  <si>
    <t>DBLES/ %</t>
  </si>
  <si>
    <t>Column 1</t>
  </si>
  <si>
    <t>SPARES</t>
  </si>
  <si>
    <t>SP. ATTS</t>
  </si>
  <si>
    <t>SPARE %</t>
  </si>
  <si>
    <t>SP. Missed</t>
  </si>
  <si>
    <t>9 /</t>
  </si>
  <si>
    <t>1 Pin /Att</t>
  </si>
  <si>
    <t>1 pin / %</t>
  </si>
  <si>
    <t>9 -</t>
  </si>
  <si>
    <t>EIBT 1</t>
  </si>
  <si>
    <t>Varsity</t>
  </si>
  <si>
    <t>JV 1</t>
  </si>
  <si>
    <t>JV 2</t>
  </si>
  <si>
    <t>Team Total</t>
  </si>
  <si>
    <t>name</t>
  </si>
  <si>
    <t>3,9,10</t>
  </si>
  <si>
    <t>3,9,10 Missed</t>
  </si>
  <si>
    <t>1,2,4</t>
  </si>
  <si>
    <t>1,2,4 Missed</t>
  </si>
  <si>
    <t>4,7</t>
  </si>
  <si>
    <t>4,7 Missed</t>
  </si>
  <si>
    <t>1,2,3,4,5,6,7,8,9,10</t>
  </si>
  <si>
    <t>1,2,3,4,5,6,7,8,9,10 Missed</t>
  </si>
  <si>
    <t>1,2,4,6,10</t>
  </si>
  <si>
    <t>1,2,4,6,10 Missed</t>
  </si>
  <si>
    <t>7 Missed</t>
  </si>
  <si>
    <t>5 Missed</t>
  </si>
  <si>
    <t>1,2,4,5</t>
  </si>
  <si>
    <t>1,2,4,5 Missed</t>
  </si>
  <si>
    <t>4 Missed</t>
  </si>
  <si>
    <t>2,4,10</t>
  </si>
  <si>
    <t>2,4,10 Missed</t>
  </si>
  <si>
    <t>1,2,4,10</t>
  </si>
  <si>
    <t>1,2,4,10 Missed</t>
  </si>
  <si>
    <t>3,6,10</t>
  </si>
  <si>
    <t>3,6,10 Missed</t>
  </si>
  <si>
    <t>2,4,5</t>
  </si>
  <si>
    <t>2,4,5 Missed</t>
  </si>
  <si>
    <t>6 Missed</t>
  </si>
  <si>
    <t>3,9</t>
  </si>
  <si>
    <t>3,9 Missed</t>
  </si>
  <si>
    <t>1,2,8</t>
  </si>
  <si>
    <t>1,2,8 Missed</t>
  </si>
  <si>
    <t>3,6</t>
  </si>
  <si>
    <t>3,6 Missed</t>
  </si>
  <si>
    <t>1,2,8,10</t>
  </si>
  <si>
    <t>1,2,8,10 Missed</t>
  </si>
  <si>
    <t>3,4,6,7,10</t>
  </si>
  <si>
    <t>3,4,6,7,10 Missed</t>
  </si>
  <si>
    <t>4,6,7</t>
  </si>
  <si>
    <t>4,6,7 Missed</t>
  </si>
  <si>
    <t>3,10</t>
  </si>
  <si>
    <t>3,10 Missed</t>
  </si>
  <si>
    <t>1,3,10</t>
  </si>
  <si>
    <t>1,3,10 Missed</t>
  </si>
  <si>
    <t>5,10</t>
  </si>
  <si>
    <t>5,10 Missed</t>
  </si>
  <si>
    <t>10 Missed</t>
  </si>
  <si>
    <t>2 Missed</t>
  </si>
  <si>
    <t>3,6,9,10</t>
  </si>
  <si>
    <t>3,6,9,10 Missed</t>
  </si>
  <si>
    <t>2,8,10</t>
  </si>
  <si>
    <t>2,8,10 Missed</t>
  </si>
  <si>
    <t>3 Missed</t>
  </si>
  <si>
    <t>2,4,5,7</t>
  </si>
  <si>
    <t>2,4,5,7 Missed</t>
  </si>
  <si>
    <t>1,2,5</t>
  </si>
  <si>
    <t>1,2,5 Missed</t>
  </si>
  <si>
    <t>1,2,6,10</t>
  </si>
  <si>
    <t>1,2,6,10 Missed</t>
  </si>
  <si>
    <t>9 Missed</t>
  </si>
  <si>
    <t>4,6,7,10</t>
  </si>
  <si>
    <t>4,6,7,10 Missed</t>
  </si>
  <si>
    <t>2,7</t>
  </si>
  <si>
    <t>2,7 Missed</t>
  </si>
  <si>
    <t>1,2,6,8,10</t>
  </si>
  <si>
    <t>1,2,6,8,10 Missed</t>
  </si>
  <si>
    <t>4,9</t>
  </si>
  <si>
    <t>4,9 Missed</t>
  </si>
  <si>
    <t>5,7</t>
  </si>
  <si>
    <t>5,7 Missed</t>
  </si>
  <si>
    <t>1,3,9</t>
  </si>
  <si>
    <t>1,3,9 Missed</t>
  </si>
  <si>
    <t>1,3,8</t>
  </si>
  <si>
    <t>1,3,8 Missed</t>
  </si>
  <si>
    <t>4,5,7</t>
  </si>
  <si>
    <t>4,5,7 Missed</t>
  </si>
  <si>
    <t>3,6,7,10</t>
  </si>
  <si>
    <t>3,6,7,10 Missed</t>
  </si>
  <si>
    <t>2,5,8</t>
  </si>
  <si>
    <t>2,5,8 Missed</t>
  </si>
  <si>
    <t>2,8</t>
  </si>
  <si>
    <t>2,8 Missed</t>
  </si>
  <si>
    <t>6,10</t>
  </si>
  <si>
    <t>6,10 Missed</t>
  </si>
  <si>
    <t>4,6</t>
  </si>
  <si>
    <t>4,6 Missed</t>
  </si>
  <si>
    <t>1,2</t>
  </si>
  <si>
    <t>1,2 Missed</t>
  </si>
  <si>
    <t>1,2,4,7</t>
  </si>
  <si>
    <t>1,2,4,7 Missed</t>
  </si>
  <si>
    <t>1,2,3,4,5,7,8</t>
  </si>
  <si>
    <t>1,2,3,4,5,7,8 Missed</t>
  </si>
  <si>
    <t>1,3,6</t>
  </si>
  <si>
    <t>1,3,6 Missed</t>
  </si>
  <si>
    <t>2,5</t>
  </si>
  <si>
    <t>2,5 Missed</t>
  </si>
  <si>
    <t>1,3,6,9</t>
  </si>
  <si>
    <t>1,3,6,9 Missed</t>
  </si>
  <si>
    <t>6,9</t>
  </si>
  <si>
    <t>6,9 Missed</t>
  </si>
  <si>
    <t>1,2,3,4,5,6,8,9,10</t>
  </si>
  <si>
    <t>1,2,3,4,5,6,8,9,10 Missed</t>
  </si>
  <si>
    <t>1,4</t>
  </si>
  <si>
    <t>1,4 Missed</t>
  </si>
  <si>
    <t>6,9,10</t>
  </si>
  <si>
    <t>6,9,10 Missed</t>
  </si>
  <si>
    <t>8 Missed</t>
  </si>
  <si>
    <t>5,8,9</t>
  </si>
  <si>
    <t>5,8,9 Missed</t>
  </si>
  <si>
    <t>4,7,10</t>
  </si>
  <si>
    <t>4,7,10 Missed</t>
  </si>
  <si>
    <t>1,2,3,5,6</t>
  </si>
  <si>
    <t>1,2,3,5,6 Missed</t>
  </si>
  <si>
    <t>1,3,5,6</t>
  </si>
  <si>
    <t>1,3,5,6 Missed</t>
  </si>
  <si>
    <t>2,4,5,8</t>
  </si>
  <si>
    <t>2,4,5,8 Missed</t>
  </si>
  <si>
    <t>2,4,7</t>
  </si>
  <si>
    <t>2,4,7 Missed</t>
  </si>
  <si>
    <t>2,4,8,10</t>
  </si>
  <si>
    <t>2,4,8,10 Missed</t>
  </si>
  <si>
    <t>1,2,5,7</t>
  </si>
  <si>
    <t>1,2,5,7 Missed</t>
  </si>
  <si>
    <t>1,2,5,9</t>
  </si>
  <si>
    <t>1,2,5,9 Missed</t>
  </si>
  <si>
    <t>2,4,6,7,8,10</t>
  </si>
  <si>
    <t>2,4,6,7,8,10 Missed</t>
  </si>
  <si>
    <t>1,3,4,7,9</t>
  </si>
  <si>
    <t>1,3,4,7,9 Missed</t>
  </si>
  <si>
    <t>1,5,10</t>
  </si>
  <si>
    <t>1,5,10 Missed</t>
  </si>
  <si>
    <t>1,2,5,8,9</t>
  </si>
  <si>
    <t>1,2,5,8,9 Missed</t>
  </si>
  <si>
    <t>7,10</t>
  </si>
  <si>
    <t>7,10 Missed</t>
  </si>
  <si>
    <t>6,7</t>
  </si>
  <si>
    <t>6,7 Missed</t>
  </si>
  <si>
    <t>1,2,7</t>
  </si>
  <si>
    <t>1,2,7 Missed</t>
  </si>
  <si>
    <t>1,2,3,5,9</t>
  </si>
  <si>
    <t>1,2,3,5,9 Missed</t>
  </si>
  <si>
    <t>5,9</t>
  </si>
  <si>
    <t>5,9 Missed</t>
  </si>
  <si>
    <t>1,3,6,10</t>
  </si>
  <si>
    <t>1,3,6,10 Missed</t>
  </si>
  <si>
    <t>6,7,10</t>
  </si>
  <si>
    <t>6,7,10 Missed</t>
  </si>
  <si>
    <t>1,2,3,5,6,9</t>
  </si>
  <si>
    <t>1,2,3,5,6,9 Missed</t>
  </si>
  <si>
    <t>1,3,6,8,10</t>
  </si>
  <si>
    <t>1,3,6,8,10 Missed</t>
  </si>
  <si>
    <t>1,2,3,5,6,9,10</t>
  </si>
  <si>
    <t>1,2,3,5,6,9,10 Missed</t>
  </si>
  <si>
    <t>2,4,5,7,8</t>
  </si>
  <si>
    <t>2,4,5,7,8 Missed</t>
  </si>
  <si>
    <t>1,2,10</t>
  </si>
  <si>
    <t>1,2,10 Missed</t>
  </si>
  <si>
    <t>3,4,6,7</t>
  </si>
  <si>
    <t>3,4,6,7 Missed</t>
  </si>
  <si>
    <t>2,7,8</t>
  </si>
  <si>
    <t>2,7,8 Missed</t>
  </si>
  <si>
    <t>1,3,8,10</t>
  </si>
  <si>
    <t>1,3,8,10 Missed</t>
  </si>
  <si>
    <t>1,2,4,8</t>
  </si>
  <si>
    <t>1,2,4,8 Missed</t>
  </si>
  <si>
    <t>2,10</t>
  </si>
  <si>
    <t>2,10 Missed</t>
  </si>
  <si>
    <t>1,3,5</t>
  </si>
  <si>
    <t>1,3,5 Missed</t>
  </si>
  <si>
    <t>1,2,3,4,5,7</t>
  </si>
  <si>
    <t>1,2,3,4,5,7 Missed</t>
  </si>
  <si>
    <t>4,6,10</t>
  </si>
  <si>
    <t>4,6,10 Missed</t>
  </si>
  <si>
    <t>Luna</t>
  </si>
  <si>
    <t>Alex</t>
  </si>
  <si>
    <t>Zander</t>
  </si>
  <si>
    <t>Matt</t>
  </si>
  <si>
    <t>Michael</t>
  </si>
  <si>
    <t>Jordan</t>
  </si>
  <si>
    <t>Cj</t>
  </si>
  <si>
    <t>Mauro</t>
  </si>
  <si>
    <t>Ej</t>
  </si>
  <si>
    <t>Chris 2.0</t>
  </si>
  <si>
    <t>Lukas</t>
  </si>
  <si>
    <t>Sam</t>
  </si>
  <si>
    <t>Chris</t>
  </si>
  <si>
    <t>Colin</t>
  </si>
  <si>
    <t>Koen</t>
  </si>
  <si>
    <t>Andrew</t>
  </si>
  <si>
    <t>Owen</t>
  </si>
  <si>
    <t>Julius</t>
  </si>
  <si>
    <t>Robbie</t>
  </si>
  <si>
    <t>Victoria</t>
  </si>
  <si>
    <t>games</t>
  </si>
  <si>
    <t>pinfall</t>
  </si>
  <si>
    <t>frames</t>
  </si>
  <si>
    <t>strikes</t>
  </si>
  <si>
    <t>doubles</t>
  </si>
  <si>
    <t>spares</t>
  </si>
  <si>
    <t>spare attempts</t>
  </si>
  <si>
    <t>single pin spares</t>
  </si>
  <si>
    <t>single pin attempts</t>
  </si>
  <si>
    <t>Clean Games</t>
  </si>
  <si>
    <t>High Game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</si>
</sst>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&quot;Aptos Narrow&quot;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9" xfId="0" applyAlignment="1" applyFont="1" applyNumberFormat="1">
      <alignment horizontal="left" readingOrder="0" shrinkToFit="0" vertical="center" wrapText="0"/>
    </xf>
    <xf borderId="1" fillId="2" fontId="2" numFmtId="0" xfId="0" applyAlignment="1" applyBorder="1" applyFill="1" applyFont="1">
      <alignment shrinkToFit="0" wrapText="0"/>
    </xf>
    <xf borderId="2" fillId="2" fontId="2" numFmtId="0" xfId="0" applyAlignment="1" applyBorder="1" applyFont="1">
      <alignment horizontal="right" shrinkToFit="0" wrapText="0"/>
    </xf>
    <xf borderId="2" fillId="2" fontId="3" numFmtId="0" xfId="0" applyBorder="1" applyFont="1"/>
    <xf borderId="2" fillId="2" fontId="2" numFmtId="9" xfId="0" applyAlignment="1" applyBorder="1" applyFont="1" applyNumberFormat="1">
      <alignment horizontal="right" shrinkToFit="0" wrapText="0"/>
    </xf>
    <xf borderId="2" fillId="2" fontId="2" numFmtId="0" xfId="0" applyAlignment="1" applyBorder="1" applyFont="1">
      <alignment shrinkToFit="0" wrapText="0"/>
    </xf>
    <xf borderId="3" fillId="2" fontId="2" numFmtId="0" xfId="0" applyAlignment="1" applyBorder="1" applyFont="1">
      <alignment horizontal="right" shrinkToFit="0" wrapText="0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vertical="bottom"/>
    </xf>
    <xf borderId="0" fillId="0" fontId="5" numFmtId="9" xfId="0" applyAlignment="1" applyFont="1" applyNumberFormat="1">
      <alignment vertical="bottom"/>
    </xf>
    <xf borderId="0" fillId="0" fontId="4" numFmtId="0" xfId="0" applyAlignment="1" applyFont="1">
      <alignment horizontal="center" vertical="bottom"/>
    </xf>
    <xf borderId="0" fillId="0" fontId="4" numFmtId="9" xfId="0" applyAlignment="1" applyFont="1" applyNumberForma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heet1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V1" displayName="Table1" name="Table1" id="1">
  <autoFilter ref="$A$1:$V$1"/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V2" displayName="Table_1" name="Table_1" id="2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0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>
      <c r="A2" s="3" t="str">
        <f>Sheet3!A2</f>
        <v>Luna</v>
      </c>
      <c r="B2" s="4">
        <f>Sheet3!B2</f>
        <v>5</v>
      </c>
      <c r="C2" s="4">
        <f>Sheet3!K2</f>
        <v>0</v>
      </c>
      <c r="D2" s="4">
        <f>Sheet3!L2</f>
        <v>176</v>
      </c>
      <c r="E2" s="5"/>
      <c r="F2" s="4">
        <f>Sheet3!C2</f>
        <v>767</v>
      </c>
      <c r="G2" s="4">
        <f t="shared" ref="G2:G26" si="1">F2/B2</f>
        <v>153.4</v>
      </c>
      <c r="H2" s="4">
        <f>Sheet3!D2</f>
        <v>51</v>
      </c>
      <c r="I2" s="4">
        <f>Sheet3!E2</f>
        <v>16</v>
      </c>
      <c r="J2" s="6">
        <f t="shared" ref="J2:J26" si="2">I2/H2</f>
        <v>0.3137254902</v>
      </c>
      <c r="K2" s="4">
        <f>Sheet3!F2</f>
        <v>3</v>
      </c>
      <c r="L2" s="6">
        <f t="shared" ref="L2:L26" si="3">K2/H2</f>
        <v>0.05882352941</v>
      </c>
      <c r="M2" s="5"/>
      <c r="N2" s="7" t="str">
        <f>Sheet3!A2</f>
        <v>Luna</v>
      </c>
      <c r="O2" s="4">
        <f>Sheet3!G2</f>
        <v>15</v>
      </c>
      <c r="P2" s="4">
        <f>Sheet3!H2</f>
        <v>33</v>
      </c>
      <c r="Q2" s="6">
        <f t="shared" ref="Q2:Q26" si="4">O2/P2</f>
        <v>0.4545454545</v>
      </c>
      <c r="R2" s="4">
        <f t="shared" ref="R2:R26" si="5">P2-O2</f>
        <v>18</v>
      </c>
      <c r="S2" s="4">
        <f>Sheet3!I2</f>
        <v>6</v>
      </c>
      <c r="T2" s="4">
        <f>Sheet3!J2</f>
        <v>10</v>
      </c>
      <c r="U2" s="6">
        <f t="shared" ref="U2:U26" si="6">S2/T2</f>
        <v>0.6</v>
      </c>
      <c r="V2" s="8">
        <f t="shared" ref="V2:V26" si="7">T2-S2</f>
        <v>4</v>
      </c>
    </row>
    <row r="3">
      <c r="A3" s="3" t="str">
        <f>Sheet3!A3</f>
        <v>Alex</v>
      </c>
      <c r="B3" s="4">
        <f>Sheet3!B3</f>
        <v>5</v>
      </c>
      <c r="C3" s="4">
        <f>Sheet3!K3</f>
        <v>0</v>
      </c>
      <c r="D3" s="4">
        <f>Sheet3!L3</f>
        <v>185</v>
      </c>
      <c r="E3" s="5"/>
      <c r="F3" s="4">
        <f>Sheet3!C3</f>
        <v>829</v>
      </c>
      <c r="G3" s="4">
        <f t="shared" si="1"/>
        <v>165.8</v>
      </c>
      <c r="H3" s="4">
        <f>Sheet3!D3</f>
        <v>50</v>
      </c>
      <c r="I3" s="4">
        <f>Sheet3!E3</f>
        <v>16</v>
      </c>
      <c r="J3" s="6">
        <f t="shared" si="2"/>
        <v>0.32</v>
      </c>
      <c r="K3" s="4">
        <f>Sheet3!F3</f>
        <v>7</v>
      </c>
      <c r="L3" s="6">
        <f t="shared" si="3"/>
        <v>0.14</v>
      </c>
      <c r="M3" s="5"/>
      <c r="N3" s="7" t="str">
        <f>Sheet3!A3</f>
        <v>Alex</v>
      </c>
      <c r="O3" s="4">
        <f>Sheet3!G3</f>
        <v>16</v>
      </c>
      <c r="P3" s="4">
        <f>Sheet3!H3</f>
        <v>33</v>
      </c>
      <c r="Q3" s="6">
        <f t="shared" si="4"/>
        <v>0.4848484848</v>
      </c>
      <c r="R3" s="4">
        <f t="shared" si="5"/>
        <v>17</v>
      </c>
      <c r="S3" s="4">
        <f>Sheet3!I3</f>
        <v>8</v>
      </c>
      <c r="T3" s="4">
        <f>Sheet3!J3</f>
        <v>15</v>
      </c>
      <c r="U3" s="6">
        <f t="shared" si="6"/>
        <v>0.5333333333</v>
      </c>
      <c r="V3" s="8">
        <f t="shared" si="7"/>
        <v>7</v>
      </c>
    </row>
    <row r="4">
      <c r="A4" s="3" t="str">
        <f>Sheet3!A4</f>
        <v>Zander</v>
      </c>
      <c r="B4" s="4">
        <f>Sheet3!B4</f>
        <v>5</v>
      </c>
      <c r="C4" s="4">
        <f>Sheet3!K4</f>
        <v>0</v>
      </c>
      <c r="D4" s="4">
        <f>Sheet3!L4</f>
        <v>210</v>
      </c>
      <c r="E4" s="5"/>
      <c r="F4" s="4">
        <f>Sheet3!C4</f>
        <v>885</v>
      </c>
      <c r="G4" s="4">
        <f t="shared" si="1"/>
        <v>177</v>
      </c>
      <c r="H4" s="4">
        <f>Sheet3!D4</f>
        <v>53</v>
      </c>
      <c r="I4" s="4">
        <f>Sheet3!E4</f>
        <v>24</v>
      </c>
      <c r="J4" s="6">
        <f t="shared" si="2"/>
        <v>0.4528301887</v>
      </c>
      <c r="K4" s="4">
        <f>Sheet3!F4</f>
        <v>9</v>
      </c>
      <c r="L4" s="6">
        <f t="shared" si="3"/>
        <v>0.1698113208</v>
      </c>
      <c r="M4" s="5"/>
      <c r="N4" s="7" t="str">
        <f>Sheet3!A4</f>
        <v>Zander</v>
      </c>
      <c r="O4" s="4">
        <f>Sheet3!G4</f>
        <v>15</v>
      </c>
      <c r="P4" s="4">
        <f>Sheet3!H4</f>
        <v>28</v>
      </c>
      <c r="Q4" s="6">
        <f t="shared" si="4"/>
        <v>0.5357142857</v>
      </c>
      <c r="R4" s="4">
        <f t="shared" si="5"/>
        <v>13</v>
      </c>
      <c r="S4" s="4">
        <f>Sheet3!I4</f>
        <v>6</v>
      </c>
      <c r="T4" s="4">
        <f>Sheet3!J4</f>
        <v>9</v>
      </c>
      <c r="U4" s="6">
        <f t="shared" si="6"/>
        <v>0.6666666667</v>
      </c>
      <c r="V4" s="8">
        <f t="shared" si="7"/>
        <v>3</v>
      </c>
    </row>
    <row r="5">
      <c r="A5" s="3" t="str">
        <f>Sheet3!A5</f>
        <v>Matt</v>
      </c>
      <c r="B5" s="4">
        <f>Sheet3!B5</f>
        <v>5</v>
      </c>
      <c r="C5" s="4">
        <f>Sheet3!K5</f>
        <v>0</v>
      </c>
      <c r="D5" s="4">
        <f>Sheet3!L5</f>
        <v>221</v>
      </c>
      <c r="E5" s="5"/>
      <c r="F5" s="4">
        <f>Sheet3!C5</f>
        <v>991</v>
      </c>
      <c r="G5" s="4">
        <f t="shared" si="1"/>
        <v>198.2</v>
      </c>
      <c r="H5" s="4">
        <f>Sheet3!D5</f>
        <v>51</v>
      </c>
      <c r="I5" s="4">
        <f>Sheet3!E5</f>
        <v>23</v>
      </c>
      <c r="J5" s="6">
        <f t="shared" si="2"/>
        <v>0.4509803922</v>
      </c>
      <c r="K5" s="4">
        <f>Sheet3!F5</f>
        <v>14</v>
      </c>
      <c r="L5" s="6">
        <f t="shared" si="3"/>
        <v>0.2745098039</v>
      </c>
      <c r="M5" s="5"/>
      <c r="N5" s="7" t="str">
        <f>Sheet3!A5</f>
        <v>Matt</v>
      </c>
      <c r="O5" s="4">
        <f>Sheet3!G5</f>
        <v>15</v>
      </c>
      <c r="P5" s="4">
        <f>Sheet3!H5</f>
        <v>25</v>
      </c>
      <c r="Q5" s="6">
        <f t="shared" si="4"/>
        <v>0.6</v>
      </c>
      <c r="R5" s="4">
        <f t="shared" si="5"/>
        <v>10</v>
      </c>
      <c r="S5" s="4">
        <f>Sheet3!I5</f>
        <v>7</v>
      </c>
      <c r="T5" s="4">
        <f>Sheet3!J5</f>
        <v>9</v>
      </c>
      <c r="U5" s="6">
        <f t="shared" si="6"/>
        <v>0.7777777778</v>
      </c>
      <c r="V5" s="8">
        <f t="shared" si="7"/>
        <v>2</v>
      </c>
    </row>
    <row r="6">
      <c r="A6" s="3" t="str">
        <f>Sheet3!A6</f>
        <v>Michael</v>
      </c>
      <c r="B6" s="4">
        <f>Sheet3!B6</f>
        <v>4</v>
      </c>
      <c r="C6" s="4">
        <f>Sheet3!K6</f>
        <v>0</v>
      </c>
      <c r="D6" s="4">
        <f>Sheet3!L6</f>
        <v>424</v>
      </c>
      <c r="E6" s="5"/>
      <c r="F6" s="4">
        <f>Sheet3!C6</f>
        <v>578</v>
      </c>
      <c r="G6" s="4">
        <f t="shared" si="1"/>
        <v>144.5</v>
      </c>
      <c r="H6" s="4">
        <f>Sheet3!D6</f>
        <v>40</v>
      </c>
      <c r="I6" s="4">
        <f>Sheet3!E6</f>
        <v>7</v>
      </c>
      <c r="J6" s="6">
        <f t="shared" si="2"/>
        <v>0.175</v>
      </c>
      <c r="K6" s="4">
        <f>Sheet3!F6</f>
        <v>0</v>
      </c>
      <c r="L6" s="6">
        <f t="shared" si="3"/>
        <v>0</v>
      </c>
      <c r="M6" s="5"/>
      <c r="N6" s="7" t="str">
        <f>Sheet3!A6</f>
        <v>Michael</v>
      </c>
      <c r="O6" s="4">
        <f>Sheet3!G6</f>
        <v>15</v>
      </c>
      <c r="P6" s="4">
        <f>Sheet3!H6</f>
        <v>32</v>
      </c>
      <c r="Q6" s="6">
        <f t="shared" si="4"/>
        <v>0.46875</v>
      </c>
      <c r="R6" s="4">
        <f t="shared" si="5"/>
        <v>17</v>
      </c>
      <c r="S6" s="4">
        <f>Sheet3!I6</f>
        <v>4</v>
      </c>
      <c r="T6" s="4">
        <f>Sheet3!J6</f>
        <v>7</v>
      </c>
      <c r="U6" s="6">
        <f t="shared" si="6"/>
        <v>0.5714285714</v>
      </c>
      <c r="V6" s="8">
        <f t="shared" si="7"/>
        <v>3</v>
      </c>
    </row>
    <row r="7">
      <c r="A7" s="3" t="str">
        <f>Sheet3!A7</f>
        <v>Jordan</v>
      </c>
      <c r="B7" s="4">
        <f>Sheet3!B7</f>
        <v>3</v>
      </c>
      <c r="C7" s="4">
        <f>Sheet3!K7</f>
        <v>1</v>
      </c>
      <c r="D7" s="4">
        <f>Sheet3!L7</f>
        <v>247</v>
      </c>
      <c r="E7" s="5"/>
      <c r="F7" s="4">
        <f>Sheet3!C7</f>
        <v>592</v>
      </c>
      <c r="G7" s="4">
        <f t="shared" si="1"/>
        <v>197.3333333</v>
      </c>
      <c r="H7" s="4">
        <f>Sheet3!D7</f>
        <v>33</v>
      </c>
      <c r="I7" s="4">
        <f>Sheet3!E7</f>
        <v>17</v>
      </c>
      <c r="J7" s="6">
        <f t="shared" si="2"/>
        <v>0.5151515152</v>
      </c>
      <c r="K7" s="4">
        <f>Sheet3!F7</f>
        <v>10</v>
      </c>
      <c r="L7" s="6">
        <f t="shared" si="3"/>
        <v>0.303030303</v>
      </c>
      <c r="M7" s="5"/>
      <c r="N7" s="7" t="str">
        <f>Sheet3!A7</f>
        <v>Jordan</v>
      </c>
      <c r="O7" s="4">
        <f>Sheet3!G7</f>
        <v>10</v>
      </c>
      <c r="P7" s="4">
        <f>Sheet3!H7</f>
        <v>16</v>
      </c>
      <c r="Q7" s="6">
        <f t="shared" si="4"/>
        <v>0.625</v>
      </c>
      <c r="R7" s="4">
        <f t="shared" si="5"/>
        <v>6</v>
      </c>
      <c r="S7" s="4">
        <f>Sheet3!I7</f>
        <v>6</v>
      </c>
      <c r="T7" s="4">
        <f>Sheet3!J7</f>
        <v>9</v>
      </c>
      <c r="U7" s="6">
        <f t="shared" si="6"/>
        <v>0.6666666667</v>
      </c>
      <c r="V7" s="8">
        <f t="shared" si="7"/>
        <v>3</v>
      </c>
    </row>
    <row r="8">
      <c r="A8" s="3" t="str">
        <f>Sheet3!A8</f>
        <v>Cj</v>
      </c>
      <c r="B8" s="4">
        <f>Sheet3!B8</f>
        <v>5</v>
      </c>
      <c r="C8" s="4">
        <f>Sheet3!K8</f>
        <v>1</v>
      </c>
      <c r="D8" s="4">
        <f>Sheet3!L8</f>
        <v>217</v>
      </c>
      <c r="E8" s="5"/>
      <c r="F8" s="4">
        <f>Sheet3!C8</f>
        <v>938</v>
      </c>
      <c r="G8" s="4">
        <f t="shared" si="1"/>
        <v>187.6</v>
      </c>
      <c r="H8" s="4">
        <f>Sheet3!D8</f>
        <v>54</v>
      </c>
      <c r="I8" s="4">
        <f>Sheet3!E8</f>
        <v>24</v>
      </c>
      <c r="J8" s="6">
        <f t="shared" si="2"/>
        <v>0.4444444444</v>
      </c>
      <c r="K8" s="4">
        <f>Sheet3!F8</f>
        <v>12</v>
      </c>
      <c r="L8" s="6">
        <f t="shared" si="3"/>
        <v>0.2222222222</v>
      </c>
      <c r="M8" s="5"/>
      <c r="N8" s="7" t="str">
        <f>Sheet3!A8</f>
        <v>Cj</v>
      </c>
      <c r="O8" s="4">
        <f>Sheet3!G8</f>
        <v>20</v>
      </c>
      <c r="P8" s="4">
        <f>Sheet3!H8</f>
        <v>30</v>
      </c>
      <c r="Q8" s="6">
        <f t="shared" si="4"/>
        <v>0.6666666667</v>
      </c>
      <c r="R8" s="4">
        <f t="shared" si="5"/>
        <v>10</v>
      </c>
      <c r="S8" s="4">
        <f>Sheet3!I8</f>
        <v>11</v>
      </c>
      <c r="T8" s="4">
        <f>Sheet3!J8</f>
        <v>16</v>
      </c>
      <c r="U8" s="6">
        <f t="shared" si="6"/>
        <v>0.6875</v>
      </c>
      <c r="V8" s="8">
        <f t="shared" si="7"/>
        <v>5</v>
      </c>
    </row>
    <row r="9">
      <c r="A9" s="3" t="str">
        <f>Sheet3!A9</f>
        <v>Mauro</v>
      </c>
      <c r="B9" s="4">
        <f>Sheet3!B9</f>
        <v>4</v>
      </c>
      <c r="C9" s="4">
        <f>Sheet3!K9</f>
        <v>0</v>
      </c>
      <c r="D9" s="4">
        <f>Sheet3!L9</f>
        <v>201</v>
      </c>
      <c r="E9" s="5"/>
      <c r="F9" s="4">
        <f>Sheet3!C9</f>
        <v>712</v>
      </c>
      <c r="G9" s="4">
        <f t="shared" si="1"/>
        <v>178</v>
      </c>
      <c r="H9" s="4">
        <f>Sheet3!D9</f>
        <v>43</v>
      </c>
      <c r="I9" s="4">
        <f>Sheet3!E9</f>
        <v>18</v>
      </c>
      <c r="J9" s="6">
        <f t="shared" si="2"/>
        <v>0.4186046512</v>
      </c>
      <c r="K9" s="4">
        <f>Sheet3!F9</f>
        <v>6</v>
      </c>
      <c r="L9" s="6">
        <f t="shared" si="3"/>
        <v>0.1395348837</v>
      </c>
      <c r="M9" s="5"/>
      <c r="N9" s="7" t="str">
        <f>Sheet3!A9</f>
        <v>Mauro</v>
      </c>
      <c r="O9" s="4">
        <f>Sheet3!G9</f>
        <v>15</v>
      </c>
      <c r="P9" s="4">
        <f>Sheet3!H9</f>
        <v>25</v>
      </c>
      <c r="Q9" s="6">
        <f t="shared" si="4"/>
        <v>0.6</v>
      </c>
      <c r="R9" s="4">
        <f t="shared" si="5"/>
        <v>10</v>
      </c>
      <c r="S9" s="4">
        <f>Sheet3!I9</f>
        <v>10</v>
      </c>
      <c r="T9" s="4">
        <f>Sheet3!J9</f>
        <v>12</v>
      </c>
      <c r="U9" s="6">
        <f t="shared" si="6"/>
        <v>0.8333333333</v>
      </c>
      <c r="V9" s="8">
        <f t="shared" si="7"/>
        <v>2</v>
      </c>
    </row>
    <row r="10">
      <c r="A10" s="3" t="str">
        <f>Sheet3!A10</f>
        <v>Ej</v>
      </c>
      <c r="B10" s="4">
        <f>Sheet3!B10</f>
        <v>2</v>
      </c>
      <c r="C10" s="4">
        <f>Sheet3!K10</f>
        <v>0</v>
      </c>
      <c r="D10" s="4">
        <f>Sheet3!L10</f>
        <v>184</v>
      </c>
      <c r="E10" s="5"/>
      <c r="F10" s="4">
        <f>Sheet3!C10</f>
        <v>353</v>
      </c>
      <c r="G10" s="4">
        <f t="shared" si="1"/>
        <v>176.5</v>
      </c>
      <c r="H10" s="4">
        <f>Sheet3!D10</f>
        <v>20</v>
      </c>
      <c r="I10" s="4">
        <f>Sheet3!E10</f>
        <v>8</v>
      </c>
      <c r="J10" s="6">
        <f t="shared" si="2"/>
        <v>0.4</v>
      </c>
      <c r="K10" s="4">
        <f>Sheet3!F10</f>
        <v>4</v>
      </c>
      <c r="L10" s="6">
        <f t="shared" si="3"/>
        <v>0.2</v>
      </c>
      <c r="M10" s="5"/>
      <c r="N10" s="7" t="str">
        <f>Sheet3!A10</f>
        <v>Ej</v>
      </c>
      <c r="O10" s="4">
        <f>Sheet3!G10</f>
        <v>5</v>
      </c>
      <c r="P10" s="4">
        <f>Sheet3!H10</f>
        <v>12</v>
      </c>
      <c r="Q10" s="6">
        <f t="shared" si="4"/>
        <v>0.4166666667</v>
      </c>
      <c r="R10" s="4">
        <f t="shared" si="5"/>
        <v>7</v>
      </c>
      <c r="S10" s="4">
        <f>Sheet3!I10</f>
        <v>2</v>
      </c>
      <c r="T10" s="4">
        <f>Sheet3!J10</f>
        <v>4</v>
      </c>
      <c r="U10" s="6">
        <f t="shared" si="6"/>
        <v>0.5</v>
      </c>
      <c r="V10" s="8">
        <f t="shared" si="7"/>
        <v>2</v>
      </c>
    </row>
    <row r="11">
      <c r="A11" s="3" t="str">
        <f>Sheet3!A11</f>
        <v>Chris 2.0</v>
      </c>
      <c r="B11" s="4">
        <f>Sheet3!B11</f>
        <v>4</v>
      </c>
      <c r="C11" s="4">
        <f>Sheet3!K11</f>
        <v>0</v>
      </c>
      <c r="D11" s="4">
        <f>Sheet3!L11</f>
        <v>257</v>
      </c>
      <c r="E11" s="5"/>
      <c r="F11" s="4">
        <f>Sheet3!C11</f>
        <v>747</v>
      </c>
      <c r="G11" s="4">
        <f t="shared" si="1"/>
        <v>186.75</v>
      </c>
      <c r="H11" s="4">
        <f>Sheet3!D11</f>
        <v>42</v>
      </c>
      <c r="I11" s="4">
        <f>Sheet3!E11</f>
        <v>18</v>
      </c>
      <c r="J11" s="6">
        <f t="shared" si="2"/>
        <v>0.4285714286</v>
      </c>
      <c r="K11" s="4">
        <f>Sheet3!F11</f>
        <v>10</v>
      </c>
      <c r="L11" s="6">
        <f t="shared" si="3"/>
        <v>0.2380952381</v>
      </c>
      <c r="M11" s="5"/>
      <c r="N11" s="7" t="str">
        <f>Sheet3!A11</f>
        <v>Chris 2.0</v>
      </c>
      <c r="O11" s="4">
        <f>Sheet3!G11</f>
        <v>14</v>
      </c>
      <c r="P11" s="4">
        <f>Sheet3!H11</f>
        <v>24</v>
      </c>
      <c r="Q11" s="6">
        <f t="shared" si="4"/>
        <v>0.5833333333</v>
      </c>
      <c r="R11" s="4">
        <f t="shared" si="5"/>
        <v>10</v>
      </c>
      <c r="S11" s="4">
        <f>Sheet3!I11</f>
        <v>7</v>
      </c>
      <c r="T11" s="4">
        <f>Sheet3!J11</f>
        <v>10</v>
      </c>
      <c r="U11" s="6">
        <f t="shared" si="6"/>
        <v>0.7</v>
      </c>
      <c r="V11" s="8">
        <f t="shared" si="7"/>
        <v>3</v>
      </c>
    </row>
    <row r="12">
      <c r="A12" s="3" t="str">
        <f>Sheet3!A12</f>
        <v>Lukas</v>
      </c>
      <c r="B12" s="4">
        <f>Sheet3!B12</f>
        <v>4</v>
      </c>
      <c r="C12" s="4">
        <f>Sheet3!K12</f>
        <v>0</v>
      </c>
      <c r="D12" s="4">
        <f>Sheet3!L12</f>
        <v>182</v>
      </c>
      <c r="E12" s="5"/>
      <c r="F12" s="4">
        <f>Sheet3!C12</f>
        <v>566</v>
      </c>
      <c r="G12" s="4">
        <f t="shared" si="1"/>
        <v>141.5</v>
      </c>
      <c r="H12" s="4">
        <f>Sheet3!D12</f>
        <v>40</v>
      </c>
      <c r="I12" s="4">
        <f>Sheet3!E12</f>
        <v>9</v>
      </c>
      <c r="J12" s="6">
        <f t="shared" si="2"/>
        <v>0.225</v>
      </c>
      <c r="K12" s="4">
        <f>Sheet3!F12</f>
        <v>3</v>
      </c>
      <c r="L12" s="6">
        <f t="shared" si="3"/>
        <v>0.075</v>
      </c>
      <c r="M12" s="5"/>
      <c r="N12" s="7" t="str">
        <f>Sheet3!A12</f>
        <v>Lukas</v>
      </c>
      <c r="O12" s="4">
        <f>Sheet3!G12</f>
        <v>10</v>
      </c>
      <c r="P12" s="4">
        <f>Sheet3!H12</f>
        <v>30</v>
      </c>
      <c r="Q12" s="6">
        <f t="shared" si="4"/>
        <v>0.3333333333</v>
      </c>
      <c r="R12" s="4">
        <f t="shared" si="5"/>
        <v>20</v>
      </c>
      <c r="S12" s="4">
        <f>Sheet3!I12</f>
        <v>6</v>
      </c>
      <c r="T12" s="4">
        <f>Sheet3!J12</f>
        <v>7</v>
      </c>
      <c r="U12" s="6">
        <f t="shared" si="6"/>
        <v>0.8571428571</v>
      </c>
      <c r="V12" s="8">
        <f t="shared" si="7"/>
        <v>1</v>
      </c>
    </row>
    <row r="13">
      <c r="A13" s="3" t="str">
        <f>Sheet3!A13</f>
        <v>Sam</v>
      </c>
      <c r="B13" s="4">
        <f>Sheet3!B13</f>
        <v>3</v>
      </c>
      <c r="C13" s="4">
        <f>Sheet3!K13</f>
        <v>0</v>
      </c>
      <c r="D13" s="4">
        <f>Sheet3!L13</f>
        <v>163</v>
      </c>
      <c r="E13" s="5"/>
      <c r="F13" s="4">
        <f>Sheet3!C13</f>
        <v>449</v>
      </c>
      <c r="G13" s="4">
        <f t="shared" si="1"/>
        <v>149.6666667</v>
      </c>
      <c r="H13" s="4">
        <f>Sheet3!D13</f>
        <v>32</v>
      </c>
      <c r="I13" s="4">
        <f>Sheet3!E13</f>
        <v>8</v>
      </c>
      <c r="J13" s="6">
        <f t="shared" si="2"/>
        <v>0.25</v>
      </c>
      <c r="K13" s="4">
        <f>Sheet3!F13</f>
        <v>3</v>
      </c>
      <c r="L13" s="6">
        <f t="shared" si="3"/>
        <v>0.09375</v>
      </c>
      <c r="M13" s="5"/>
      <c r="N13" s="7" t="str">
        <f>Sheet3!A13</f>
        <v>Sam</v>
      </c>
      <c r="O13" s="4">
        <f>Sheet3!G13</f>
        <v>12</v>
      </c>
      <c r="P13" s="4">
        <f>Sheet3!H13</f>
        <v>24</v>
      </c>
      <c r="Q13" s="6">
        <f t="shared" si="4"/>
        <v>0.5</v>
      </c>
      <c r="R13" s="4">
        <f t="shared" si="5"/>
        <v>12</v>
      </c>
      <c r="S13" s="4">
        <f>Sheet3!I13</f>
        <v>6</v>
      </c>
      <c r="T13" s="4">
        <f>Sheet3!J13</f>
        <v>9</v>
      </c>
      <c r="U13" s="6">
        <f t="shared" si="6"/>
        <v>0.6666666667</v>
      </c>
      <c r="V13" s="8">
        <f t="shared" si="7"/>
        <v>3</v>
      </c>
    </row>
    <row r="14">
      <c r="A14" s="3" t="str">
        <f>Sheet3!A14</f>
        <v>Chris</v>
      </c>
      <c r="B14" s="4">
        <f>Sheet3!B14</f>
        <v>3</v>
      </c>
      <c r="C14" s="4">
        <f>Sheet3!K14</f>
        <v>0</v>
      </c>
      <c r="D14" s="4">
        <f>Sheet3!L14</f>
        <v>216</v>
      </c>
      <c r="E14" s="5"/>
      <c r="F14" s="4">
        <f>Sheet3!C14</f>
        <v>515</v>
      </c>
      <c r="G14" s="4">
        <f t="shared" si="1"/>
        <v>171.6666667</v>
      </c>
      <c r="H14" s="4">
        <f>Sheet3!D14</f>
        <v>30</v>
      </c>
      <c r="I14" s="4">
        <f>Sheet3!E14</f>
        <v>8</v>
      </c>
      <c r="J14" s="6">
        <f t="shared" si="2"/>
        <v>0.2666666667</v>
      </c>
      <c r="K14" s="4">
        <f>Sheet3!F14</f>
        <v>5</v>
      </c>
      <c r="L14" s="6">
        <f t="shared" si="3"/>
        <v>0.1666666667</v>
      </c>
      <c r="M14" s="5"/>
      <c r="N14" s="7" t="str">
        <f>Sheet3!A14</f>
        <v>Chris</v>
      </c>
      <c r="O14" s="4">
        <f>Sheet3!G14</f>
        <v>10</v>
      </c>
      <c r="P14" s="4">
        <f>Sheet3!H14</f>
        <v>20</v>
      </c>
      <c r="Q14" s="6">
        <f t="shared" si="4"/>
        <v>0.5</v>
      </c>
      <c r="R14" s="4">
        <f t="shared" si="5"/>
        <v>10</v>
      </c>
      <c r="S14" s="4">
        <f>Sheet3!I14</f>
        <v>5</v>
      </c>
      <c r="T14" s="4">
        <f>Sheet3!J14</f>
        <v>11</v>
      </c>
      <c r="U14" s="6">
        <f t="shared" si="6"/>
        <v>0.4545454545</v>
      </c>
      <c r="V14" s="8">
        <f t="shared" si="7"/>
        <v>6</v>
      </c>
    </row>
    <row r="15">
      <c r="A15" s="3" t="str">
        <f>Sheet3!A15</f>
        <v>Colin</v>
      </c>
      <c r="B15" s="4">
        <f>Sheet3!B15</f>
        <v>4</v>
      </c>
      <c r="C15" s="4">
        <f>Sheet3!K15</f>
        <v>0</v>
      </c>
      <c r="D15" s="4">
        <f>Sheet3!L15</f>
        <v>170</v>
      </c>
      <c r="E15" s="5"/>
      <c r="F15" s="4">
        <f>Sheet3!C15</f>
        <v>601</v>
      </c>
      <c r="G15" s="4">
        <f t="shared" si="1"/>
        <v>150.25</v>
      </c>
      <c r="H15" s="4">
        <f>Sheet3!D15</f>
        <v>40</v>
      </c>
      <c r="I15" s="4">
        <f>Sheet3!E15</f>
        <v>9</v>
      </c>
      <c r="J15" s="6">
        <f t="shared" si="2"/>
        <v>0.225</v>
      </c>
      <c r="K15" s="4">
        <f>Sheet3!F15</f>
        <v>3</v>
      </c>
      <c r="L15" s="6">
        <f t="shared" si="3"/>
        <v>0.075</v>
      </c>
      <c r="M15" s="5"/>
      <c r="N15" s="7" t="str">
        <f>Sheet3!A15</f>
        <v>Colin</v>
      </c>
      <c r="O15" s="4">
        <f>Sheet3!G15</f>
        <v>13</v>
      </c>
      <c r="P15" s="4">
        <f>Sheet3!H15</f>
        <v>30</v>
      </c>
      <c r="Q15" s="6">
        <f t="shared" si="4"/>
        <v>0.4333333333</v>
      </c>
      <c r="R15" s="4">
        <f t="shared" si="5"/>
        <v>17</v>
      </c>
      <c r="S15" s="4">
        <f>Sheet3!I15</f>
        <v>7</v>
      </c>
      <c r="T15" s="4">
        <f>Sheet3!J15</f>
        <v>13</v>
      </c>
      <c r="U15" s="6">
        <f t="shared" si="6"/>
        <v>0.5384615385</v>
      </c>
      <c r="V15" s="8">
        <f t="shared" si="7"/>
        <v>6</v>
      </c>
    </row>
    <row r="16">
      <c r="A16" s="3" t="str">
        <f>Sheet3!A16</f>
        <v>Koen</v>
      </c>
      <c r="B16" s="4">
        <f>Sheet3!B16</f>
        <v>4</v>
      </c>
      <c r="C16" s="4">
        <f>Sheet3!K16</f>
        <v>1</v>
      </c>
      <c r="D16" s="4">
        <f>Sheet3!L16</f>
        <v>209</v>
      </c>
      <c r="E16" s="5"/>
      <c r="F16" s="4">
        <f>Sheet3!C16</f>
        <v>669</v>
      </c>
      <c r="G16" s="4">
        <f t="shared" si="1"/>
        <v>167.25</v>
      </c>
      <c r="H16" s="4">
        <f>Sheet3!D16</f>
        <v>40</v>
      </c>
      <c r="I16" s="4">
        <f>Sheet3!E16</f>
        <v>13</v>
      </c>
      <c r="J16" s="6">
        <f t="shared" si="2"/>
        <v>0.325</v>
      </c>
      <c r="K16" s="4">
        <f>Sheet3!F16</f>
        <v>4</v>
      </c>
      <c r="L16" s="6">
        <f t="shared" si="3"/>
        <v>0.1</v>
      </c>
      <c r="M16" s="5"/>
      <c r="N16" s="7" t="str">
        <f>Sheet3!A16</f>
        <v>Koen</v>
      </c>
      <c r="O16" s="4">
        <f>Sheet3!G16</f>
        <v>15</v>
      </c>
      <c r="P16" s="4">
        <f>Sheet3!H16</f>
        <v>27</v>
      </c>
      <c r="Q16" s="6">
        <f t="shared" si="4"/>
        <v>0.5555555556</v>
      </c>
      <c r="R16" s="4">
        <f t="shared" si="5"/>
        <v>12</v>
      </c>
      <c r="S16" s="4">
        <f>Sheet3!I16</f>
        <v>3</v>
      </c>
      <c r="T16" s="4">
        <f>Sheet3!J16</f>
        <v>3</v>
      </c>
      <c r="U16" s="6">
        <f t="shared" si="6"/>
        <v>1</v>
      </c>
      <c r="V16" s="8">
        <f t="shared" si="7"/>
        <v>0</v>
      </c>
    </row>
    <row r="17">
      <c r="A17" s="3" t="str">
        <f>Sheet3!A17</f>
        <v>Andrew</v>
      </c>
      <c r="B17" s="4">
        <f>Sheet3!B17</f>
        <v>5</v>
      </c>
      <c r="C17" s="4">
        <f>Sheet3!K17</f>
        <v>1</v>
      </c>
      <c r="D17" s="4">
        <f>Sheet3!L17</f>
        <v>234</v>
      </c>
      <c r="E17" s="5"/>
      <c r="F17" s="4">
        <f>Sheet3!C17</f>
        <v>997</v>
      </c>
      <c r="G17" s="4">
        <f t="shared" si="1"/>
        <v>199.4</v>
      </c>
      <c r="H17" s="4">
        <f>Sheet3!D17</f>
        <v>50</v>
      </c>
      <c r="I17" s="4">
        <f>Sheet3!E17</f>
        <v>19</v>
      </c>
      <c r="J17" s="6">
        <f t="shared" si="2"/>
        <v>0.38</v>
      </c>
      <c r="K17" s="4">
        <f>Sheet3!F17</f>
        <v>9</v>
      </c>
      <c r="L17" s="6">
        <f t="shared" si="3"/>
        <v>0.18</v>
      </c>
      <c r="M17" s="5"/>
      <c r="N17" s="7" t="str">
        <f>Sheet3!A17</f>
        <v>Andrew</v>
      </c>
      <c r="O17" s="4">
        <f>Sheet3!G17</f>
        <v>26</v>
      </c>
      <c r="P17" s="4">
        <f>Sheet3!H17</f>
        <v>31</v>
      </c>
      <c r="Q17" s="6">
        <f t="shared" si="4"/>
        <v>0.8387096774</v>
      </c>
      <c r="R17" s="4">
        <f t="shared" si="5"/>
        <v>5</v>
      </c>
      <c r="S17" s="4">
        <f>Sheet3!I17</f>
        <v>14</v>
      </c>
      <c r="T17" s="4">
        <f>Sheet3!J17</f>
        <v>16</v>
      </c>
      <c r="U17" s="6">
        <f t="shared" si="6"/>
        <v>0.875</v>
      </c>
      <c r="V17" s="8">
        <f t="shared" si="7"/>
        <v>2</v>
      </c>
    </row>
    <row r="18">
      <c r="A18" s="3" t="str">
        <f>Sheet3!A18</f>
        <v>Owen</v>
      </c>
      <c r="B18" s="4">
        <f>Sheet3!B18</f>
        <v>4</v>
      </c>
      <c r="C18" s="4">
        <f>Sheet3!K18</f>
        <v>0</v>
      </c>
      <c r="D18" s="4">
        <f>Sheet3!L18</f>
        <v>189</v>
      </c>
      <c r="E18" s="5"/>
      <c r="F18" s="4">
        <f>Sheet3!C18</f>
        <v>687</v>
      </c>
      <c r="G18" s="4">
        <f t="shared" si="1"/>
        <v>171.75</v>
      </c>
      <c r="H18" s="4">
        <f>Sheet3!D18</f>
        <v>40</v>
      </c>
      <c r="I18" s="4">
        <f>Sheet3!E18</f>
        <v>13</v>
      </c>
      <c r="J18" s="6">
        <f t="shared" si="2"/>
        <v>0.325</v>
      </c>
      <c r="K18" s="4">
        <f>Sheet3!F18</f>
        <v>5</v>
      </c>
      <c r="L18" s="6">
        <f t="shared" si="3"/>
        <v>0.125</v>
      </c>
      <c r="M18" s="5"/>
      <c r="N18" s="7" t="str">
        <f>Sheet3!A18</f>
        <v>Owen</v>
      </c>
      <c r="O18" s="4">
        <f>Sheet3!G18</f>
        <v>15</v>
      </c>
      <c r="P18" s="4">
        <f>Sheet3!H18</f>
        <v>26</v>
      </c>
      <c r="Q18" s="6">
        <f t="shared" si="4"/>
        <v>0.5769230769</v>
      </c>
      <c r="R18" s="4">
        <f t="shared" si="5"/>
        <v>11</v>
      </c>
      <c r="S18" s="4">
        <f>Sheet3!I18</f>
        <v>8</v>
      </c>
      <c r="T18" s="4">
        <f>Sheet3!J18</f>
        <v>12</v>
      </c>
      <c r="U18" s="6">
        <f t="shared" si="6"/>
        <v>0.6666666667</v>
      </c>
      <c r="V18" s="8">
        <f t="shared" si="7"/>
        <v>4</v>
      </c>
    </row>
    <row r="19">
      <c r="A19" s="3" t="str">
        <f>Sheet3!A19</f>
        <v>Julius</v>
      </c>
      <c r="B19" s="4">
        <f>Sheet3!B19</f>
        <v>4</v>
      </c>
      <c r="C19" s="4">
        <f>Sheet3!K19</f>
        <v>0</v>
      </c>
      <c r="D19" s="4">
        <f>Sheet3!L19</f>
        <v>204</v>
      </c>
      <c r="E19" s="5"/>
      <c r="F19" s="4">
        <f>Sheet3!C19</f>
        <v>619</v>
      </c>
      <c r="G19" s="4">
        <f t="shared" si="1"/>
        <v>154.75</v>
      </c>
      <c r="H19" s="4">
        <f>Sheet3!D19</f>
        <v>40</v>
      </c>
      <c r="I19" s="4">
        <f>Sheet3!E19</f>
        <v>12</v>
      </c>
      <c r="J19" s="6">
        <f t="shared" si="2"/>
        <v>0.3</v>
      </c>
      <c r="K19" s="4">
        <f>Sheet3!F19</f>
        <v>5</v>
      </c>
      <c r="L19" s="6">
        <f t="shared" si="3"/>
        <v>0.125</v>
      </c>
      <c r="M19" s="5"/>
      <c r="N19" s="7" t="str">
        <f>Sheet3!A19</f>
        <v>Julius</v>
      </c>
      <c r="O19" s="4">
        <f>Sheet3!G19</f>
        <v>11</v>
      </c>
      <c r="P19" s="4">
        <f>Sheet3!H19</f>
        <v>28</v>
      </c>
      <c r="Q19" s="6">
        <f t="shared" si="4"/>
        <v>0.3928571429</v>
      </c>
      <c r="R19" s="4">
        <f t="shared" si="5"/>
        <v>17</v>
      </c>
      <c r="S19" s="4">
        <f>Sheet3!I19</f>
        <v>6</v>
      </c>
      <c r="T19" s="4">
        <f>Sheet3!J19</f>
        <v>12</v>
      </c>
      <c r="U19" s="6">
        <f t="shared" si="6"/>
        <v>0.5</v>
      </c>
      <c r="V19" s="8">
        <f t="shared" si="7"/>
        <v>6</v>
      </c>
    </row>
    <row r="20">
      <c r="A20" s="3" t="str">
        <f>Sheet3!A20</f>
        <v>Robbie</v>
      </c>
      <c r="B20" s="4">
        <f>Sheet3!B20</f>
        <v>1</v>
      </c>
      <c r="C20" s="4">
        <f>Sheet3!K20</f>
        <v>0</v>
      </c>
      <c r="D20" s="4">
        <f>Sheet3!L20</f>
        <v>120</v>
      </c>
      <c r="E20" s="5"/>
      <c r="F20" s="4">
        <f>Sheet3!C20</f>
        <v>120</v>
      </c>
      <c r="G20" s="4">
        <f t="shared" si="1"/>
        <v>120</v>
      </c>
      <c r="H20" s="4">
        <f>Sheet3!D20</f>
        <v>10</v>
      </c>
      <c r="I20" s="4">
        <f>Sheet3!E20</f>
        <v>1</v>
      </c>
      <c r="J20" s="6">
        <f t="shared" si="2"/>
        <v>0.1</v>
      </c>
      <c r="K20" s="4">
        <f>Sheet3!F20</f>
        <v>1</v>
      </c>
      <c r="L20" s="6">
        <f t="shared" si="3"/>
        <v>0.1</v>
      </c>
      <c r="M20" s="5"/>
      <c r="N20" s="7" t="str">
        <f>Sheet3!A20</f>
        <v>Robbie</v>
      </c>
      <c r="O20" s="4">
        <f>Sheet3!G20</f>
        <v>3</v>
      </c>
      <c r="P20" s="4">
        <f>Sheet3!H20</f>
        <v>9</v>
      </c>
      <c r="Q20" s="6">
        <f t="shared" si="4"/>
        <v>0.3333333333</v>
      </c>
      <c r="R20" s="4">
        <f t="shared" si="5"/>
        <v>6</v>
      </c>
      <c r="S20" s="4">
        <f>Sheet3!I20</f>
        <v>2</v>
      </c>
      <c r="T20" s="4">
        <f>Sheet3!J20</f>
        <v>3</v>
      </c>
      <c r="U20" s="6">
        <f t="shared" si="6"/>
        <v>0.6666666667</v>
      </c>
      <c r="V20" s="8">
        <f t="shared" si="7"/>
        <v>1</v>
      </c>
    </row>
    <row r="21">
      <c r="A21" s="3" t="str">
        <f>Sheet3!A21</f>
        <v>Victoria</v>
      </c>
      <c r="B21" s="4">
        <f>Sheet3!B21</f>
        <v>1</v>
      </c>
      <c r="C21" s="4">
        <f>Sheet3!K21</f>
        <v>0</v>
      </c>
      <c r="D21" s="4">
        <f>Sheet3!L21</f>
        <v>151</v>
      </c>
      <c r="E21" s="5"/>
      <c r="F21" s="4">
        <f>Sheet3!C21</f>
        <v>151</v>
      </c>
      <c r="G21" s="4">
        <f t="shared" si="1"/>
        <v>151</v>
      </c>
      <c r="H21" s="4">
        <f>Sheet3!D21</f>
        <v>11</v>
      </c>
      <c r="I21" s="4">
        <f>Sheet3!E21</f>
        <v>4</v>
      </c>
      <c r="J21" s="6">
        <f t="shared" si="2"/>
        <v>0.3636363636</v>
      </c>
      <c r="K21" s="4">
        <f>Sheet3!F21</f>
        <v>1</v>
      </c>
      <c r="L21" s="6">
        <f t="shared" si="3"/>
        <v>0.09090909091</v>
      </c>
      <c r="M21" s="5"/>
      <c r="N21" s="7" t="str">
        <f>Sheet3!A21</f>
        <v>Victoria</v>
      </c>
      <c r="O21" s="4">
        <f>Sheet3!G21</f>
        <v>3</v>
      </c>
      <c r="P21" s="4">
        <f>Sheet3!H21</f>
        <v>7</v>
      </c>
      <c r="Q21" s="6">
        <f t="shared" si="4"/>
        <v>0.4285714286</v>
      </c>
      <c r="R21" s="4">
        <f t="shared" si="5"/>
        <v>4</v>
      </c>
      <c r="S21" s="4">
        <f>Sheet3!I21</f>
        <v>2</v>
      </c>
      <c r="T21" s="4">
        <f>Sheet3!J21</f>
        <v>2</v>
      </c>
      <c r="U21" s="6">
        <f t="shared" si="6"/>
        <v>1</v>
      </c>
      <c r="V21" s="8">
        <f t="shared" si="7"/>
        <v>0</v>
      </c>
    </row>
    <row r="22">
      <c r="A22" s="3" t="str">
        <f>Sheet3!A22</f>
        <v/>
      </c>
      <c r="B22" s="4" t="str">
        <f>Sheet3!B22</f>
        <v/>
      </c>
      <c r="C22" s="4" t="str">
        <f>Sheet3!K22</f>
        <v/>
      </c>
      <c r="D22" s="4" t="str">
        <f>Sheet3!L22</f>
        <v/>
      </c>
      <c r="E22" s="5"/>
      <c r="F22" s="4" t="str">
        <f>Sheet3!C22</f>
        <v/>
      </c>
      <c r="G22" s="4" t="str">
        <f t="shared" si="1"/>
        <v>#DIV/0!</v>
      </c>
      <c r="H22" s="4" t="str">
        <f>Sheet3!D22</f>
        <v/>
      </c>
      <c r="I22" s="4" t="str">
        <f>Sheet3!E22</f>
        <v/>
      </c>
      <c r="J22" s="6" t="str">
        <f t="shared" si="2"/>
        <v>#DIV/0!</v>
      </c>
      <c r="K22" s="4" t="str">
        <f>Sheet3!F22</f>
        <v/>
      </c>
      <c r="L22" s="6" t="str">
        <f t="shared" si="3"/>
        <v>#DIV/0!</v>
      </c>
      <c r="M22" s="5"/>
      <c r="N22" s="7" t="str">
        <f>Sheet3!A22</f>
        <v/>
      </c>
      <c r="O22" s="4" t="str">
        <f>Sheet3!G22</f>
        <v/>
      </c>
      <c r="P22" s="4" t="str">
        <f>Sheet3!H22</f>
        <v/>
      </c>
      <c r="Q22" s="6" t="str">
        <f t="shared" si="4"/>
        <v>#DIV/0!</v>
      </c>
      <c r="R22" s="4">
        <f t="shared" si="5"/>
        <v>0</v>
      </c>
      <c r="S22" s="4" t="str">
        <f>Sheet3!I22</f>
        <v/>
      </c>
      <c r="T22" s="4" t="str">
        <f>Sheet3!J22</f>
        <v/>
      </c>
      <c r="U22" s="6" t="str">
        <f t="shared" si="6"/>
        <v>#DIV/0!</v>
      </c>
      <c r="V22" s="8">
        <f t="shared" si="7"/>
        <v>0</v>
      </c>
    </row>
    <row r="23">
      <c r="A23" s="3" t="str">
        <f>Sheet3!A23</f>
        <v/>
      </c>
      <c r="B23" s="4" t="str">
        <f>Sheet3!B23</f>
        <v/>
      </c>
      <c r="C23" s="4" t="str">
        <f>Sheet3!K23</f>
        <v/>
      </c>
      <c r="D23" s="4" t="str">
        <f>Sheet3!L23</f>
        <v/>
      </c>
      <c r="E23" s="5"/>
      <c r="F23" s="4" t="str">
        <f>Sheet3!C23</f>
        <v/>
      </c>
      <c r="G23" s="4" t="str">
        <f t="shared" si="1"/>
        <v>#DIV/0!</v>
      </c>
      <c r="H23" s="4" t="str">
        <f>Sheet3!D23</f>
        <v/>
      </c>
      <c r="I23" s="4" t="str">
        <f>Sheet3!E23</f>
        <v/>
      </c>
      <c r="J23" s="6" t="str">
        <f t="shared" si="2"/>
        <v>#DIV/0!</v>
      </c>
      <c r="K23" s="4" t="str">
        <f>Sheet3!F23</f>
        <v/>
      </c>
      <c r="L23" s="6" t="str">
        <f t="shared" si="3"/>
        <v>#DIV/0!</v>
      </c>
      <c r="M23" s="5"/>
      <c r="N23" s="7" t="str">
        <f>Sheet3!A23</f>
        <v/>
      </c>
      <c r="O23" s="4" t="str">
        <f>Sheet3!G23</f>
        <v/>
      </c>
      <c r="P23" s="4" t="str">
        <f>Sheet3!H23</f>
        <v/>
      </c>
      <c r="Q23" s="6" t="str">
        <f t="shared" si="4"/>
        <v>#DIV/0!</v>
      </c>
      <c r="R23" s="4">
        <f t="shared" si="5"/>
        <v>0</v>
      </c>
      <c r="S23" s="4" t="str">
        <f>Sheet3!I23</f>
        <v/>
      </c>
      <c r="T23" s="4" t="str">
        <f>Sheet3!J23</f>
        <v/>
      </c>
      <c r="U23" s="6" t="str">
        <f t="shared" si="6"/>
        <v>#DIV/0!</v>
      </c>
      <c r="V23" s="8">
        <f t="shared" si="7"/>
        <v>0</v>
      </c>
    </row>
    <row r="24">
      <c r="A24" s="3" t="str">
        <f>Sheet3!A24</f>
        <v/>
      </c>
      <c r="B24" s="4" t="str">
        <f>Sheet3!B24</f>
        <v/>
      </c>
      <c r="C24" s="4" t="str">
        <f>Sheet3!K24</f>
        <v/>
      </c>
      <c r="D24" s="4" t="str">
        <f>Sheet3!L24</f>
        <v/>
      </c>
      <c r="E24" s="5"/>
      <c r="F24" s="4" t="str">
        <f>Sheet3!C24</f>
        <v/>
      </c>
      <c r="G24" s="4" t="str">
        <f t="shared" si="1"/>
        <v>#DIV/0!</v>
      </c>
      <c r="H24" s="4" t="str">
        <f>Sheet3!D24</f>
        <v/>
      </c>
      <c r="I24" s="4" t="str">
        <f>Sheet3!E24</f>
        <v/>
      </c>
      <c r="J24" s="6" t="str">
        <f t="shared" si="2"/>
        <v>#DIV/0!</v>
      </c>
      <c r="K24" s="4" t="str">
        <f>Sheet3!F24</f>
        <v/>
      </c>
      <c r="L24" s="6" t="str">
        <f t="shared" si="3"/>
        <v>#DIV/0!</v>
      </c>
      <c r="M24" s="5"/>
      <c r="N24" s="7" t="str">
        <f>Sheet3!A24</f>
        <v/>
      </c>
      <c r="O24" s="4" t="str">
        <f>Sheet3!G24</f>
        <v/>
      </c>
      <c r="P24" s="4" t="str">
        <f>Sheet3!H24</f>
        <v/>
      </c>
      <c r="Q24" s="6" t="str">
        <f t="shared" si="4"/>
        <v>#DIV/0!</v>
      </c>
      <c r="R24" s="4">
        <f t="shared" si="5"/>
        <v>0</v>
      </c>
      <c r="S24" s="4" t="str">
        <f>Sheet3!I24</f>
        <v/>
      </c>
      <c r="T24" s="4" t="str">
        <f>Sheet3!J24</f>
        <v/>
      </c>
      <c r="U24" s="6" t="str">
        <f t="shared" si="6"/>
        <v>#DIV/0!</v>
      </c>
      <c r="V24" s="8">
        <f t="shared" si="7"/>
        <v>0</v>
      </c>
    </row>
    <row r="25">
      <c r="A25" s="3" t="str">
        <f>Sheet3!A25</f>
        <v/>
      </c>
      <c r="B25" s="4" t="str">
        <f>Sheet3!B25</f>
        <v/>
      </c>
      <c r="C25" s="4" t="str">
        <f>Sheet3!K25</f>
        <v/>
      </c>
      <c r="D25" s="4" t="str">
        <f>Sheet3!L25</f>
        <v/>
      </c>
      <c r="E25" s="5"/>
      <c r="F25" s="4" t="str">
        <f>Sheet3!C25</f>
        <v/>
      </c>
      <c r="G25" s="4" t="str">
        <f t="shared" si="1"/>
        <v>#DIV/0!</v>
      </c>
      <c r="H25" s="4" t="str">
        <f>Sheet3!D25</f>
        <v/>
      </c>
      <c r="I25" s="4" t="str">
        <f>Sheet3!E25</f>
        <v/>
      </c>
      <c r="J25" s="6" t="str">
        <f t="shared" si="2"/>
        <v>#DIV/0!</v>
      </c>
      <c r="K25" s="4" t="str">
        <f>Sheet3!F25</f>
        <v/>
      </c>
      <c r="L25" s="6" t="str">
        <f t="shared" si="3"/>
        <v>#DIV/0!</v>
      </c>
      <c r="M25" s="5"/>
      <c r="N25" s="7" t="str">
        <f>Sheet3!A25</f>
        <v/>
      </c>
      <c r="O25" s="4" t="str">
        <f>Sheet3!G25</f>
        <v/>
      </c>
      <c r="P25" s="4" t="str">
        <f>Sheet3!H25</f>
        <v/>
      </c>
      <c r="Q25" s="6" t="str">
        <f t="shared" si="4"/>
        <v>#DIV/0!</v>
      </c>
      <c r="R25" s="4">
        <f t="shared" si="5"/>
        <v>0</v>
      </c>
      <c r="S25" s="4" t="str">
        <f>Sheet3!I25</f>
        <v/>
      </c>
      <c r="T25" s="4" t="str">
        <f>Sheet3!J25</f>
        <v/>
      </c>
      <c r="U25" s="6" t="str">
        <f t="shared" si="6"/>
        <v>#DIV/0!</v>
      </c>
      <c r="V25" s="8">
        <f t="shared" si="7"/>
        <v>0</v>
      </c>
    </row>
    <row r="26">
      <c r="A26" s="3" t="str">
        <f>Sheet3!A26</f>
        <v/>
      </c>
      <c r="B26" s="4" t="str">
        <f>Sheet3!B26</f>
        <v/>
      </c>
      <c r="C26" s="4" t="str">
        <f>Sheet3!K26</f>
        <v/>
      </c>
      <c r="D26" s="4" t="str">
        <f>Sheet3!L26</f>
        <v/>
      </c>
      <c r="E26" s="5"/>
      <c r="F26" s="4" t="str">
        <f>Sheet3!C26</f>
        <v/>
      </c>
      <c r="G26" s="4" t="str">
        <f t="shared" si="1"/>
        <v>#DIV/0!</v>
      </c>
      <c r="H26" s="4" t="str">
        <f>Sheet3!D26</f>
        <v/>
      </c>
      <c r="I26" s="4" t="str">
        <f>Sheet3!E26</f>
        <v/>
      </c>
      <c r="J26" s="6" t="str">
        <f t="shared" si="2"/>
        <v>#DIV/0!</v>
      </c>
      <c r="K26" s="4" t="str">
        <f>Sheet3!F26</f>
        <v/>
      </c>
      <c r="L26" s="6" t="str">
        <f t="shared" si="3"/>
        <v>#DIV/0!</v>
      </c>
      <c r="M26" s="5"/>
      <c r="N26" s="7" t="str">
        <f>Sheet3!A26</f>
        <v/>
      </c>
      <c r="O26" s="4" t="str">
        <f>Sheet3!G26</f>
        <v/>
      </c>
      <c r="P26" s="4" t="str">
        <f>Sheet3!H26</f>
        <v/>
      </c>
      <c r="Q26" s="6" t="str">
        <f t="shared" si="4"/>
        <v>#DIV/0!</v>
      </c>
      <c r="R26" s="4">
        <f t="shared" si="5"/>
        <v>0</v>
      </c>
      <c r="S26" s="4" t="str">
        <f>Sheet3!I26</f>
        <v/>
      </c>
      <c r="T26" s="4" t="str">
        <f>Sheet3!J26</f>
        <v/>
      </c>
      <c r="U26" s="6" t="str">
        <f t="shared" si="6"/>
        <v>#DIV/0!</v>
      </c>
      <c r="V26" s="8">
        <f t="shared" si="7"/>
        <v>0</v>
      </c>
    </row>
    <row r="29">
      <c r="A29" s="9" t="s">
        <v>21</v>
      </c>
      <c r="B29" s="10"/>
      <c r="C29" s="10"/>
      <c r="D29" s="10"/>
      <c r="E29" s="10"/>
      <c r="F29" s="10"/>
      <c r="G29" s="10"/>
      <c r="H29" s="10"/>
      <c r="I29" s="10"/>
      <c r="J29" s="11"/>
      <c r="K29" s="10"/>
      <c r="L29" s="11"/>
      <c r="M29" s="10"/>
      <c r="N29" s="9" t="s">
        <v>21</v>
      </c>
      <c r="O29" s="10"/>
      <c r="P29" s="10"/>
      <c r="Q29" s="11"/>
      <c r="R29" s="10"/>
      <c r="S29" s="10"/>
      <c r="T29" s="10"/>
      <c r="U29" s="11"/>
      <c r="V29" s="10"/>
    </row>
    <row r="30">
      <c r="A30" s="12" t="s">
        <v>22</v>
      </c>
      <c r="B30" s="12">
        <v>25.0</v>
      </c>
      <c r="C30" s="12">
        <f>sum(C5,C7,C8,C9,C10,C17,C21)</f>
        <v>3</v>
      </c>
      <c r="D30" s="9">
        <v>247.0</v>
      </c>
      <c r="E30" s="9">
        <v>1011.0</v>
      </c>
      <c r="F30" s="12">
        <f>sum(F21,F5,F7,F8,F9,F10,F17)</f>
        <v>4734</v>
      </c>
      <c r="G30" s="12">
        <f t="shared" ref="G30:G32" si="9">F30/B30</f>
        <v>189.36</v>
      </c>
      <c r="H30" s="12">
        <f>SUM(H7,H8,H9,H10,H21,H17,H5)</f>
        <v>262</v>
      </c>
      <c r="I30" s="12">
        <f>SUM(I7,I8,I9,I10,I17,I21,I5)</f>
        <v>113</v>
      </c>
      <c r="J30" s="13">
        <f t="shared" ref="J30:J32" si="11">I30/H30</f>
        <v>0.4312977099</v>
      </c>
      <c r="K30" s="12">
        <f>SUM(K5,K8,K7,K9,K10,K17,K21)</f>
        <v>56</v>
      </c>
      <c r="L30" s="13">
        <f t="shared" ref="L30:L32" si="12">K30/H30</f>
        <v>0.213740458</v>
      </c>
      <c r="M30" s="10"/>
      <c r="N30" s="12" t="s">
        <v>22</v>
      </c>
      <c r="O30" s="12">
        <f>Sum(O5,O7,O8,O9,O10,O17,O21)</f>
        <v>94</v>
      </c>
      <c r="P30" s="12">
        <f>sum(P5,P7,P8,P9,P10,P17,P21)</f>
        <v>146</v>
      </c>
      <c r="Q30" s="13">
        <f t="shared" ref="Q30:Q32" si="14">O30/P30</f>
        <v>0.6438356164</v>
      </c>
      <c r="R30" s="12">
        <f t="shared" ref="R30:R32" si="15">P30-O30</f>
        <v>52</v>
      </c>
      <c r="S30" s="12">
        <f t="shared" ref="S30:T30" si="8">sum(S5,S7,S8,S9,S10,S17,S21)</f>
        <v>52</v>
      </c>
      <c r="T30" s="12">
        <f t="shared" si="8"/>
        <v>68</v>
      </c>
      <c r="U30" s="13">
        <f t="shared" ref="U30:U32" si="17">S30/T30</f>
        <v>0.7647058824</v>
      </c>
      <c r="V30" s="12">
        <f t="shared" ref="V30:V32" si="18">T30-S30</f>
        <v>16</v>
      </c>
    </row>
    <row r="31">
      <c r="A31" s="12" t="s">
        <v>23</v>
      </c>
      <c r="B31" s="12">
        <v>25.0</v>
      </c>
      <c r="C31" s="12">
        <f>sum(C3,C4,C11,C13,C14,C16,C20)</f>
        <v>1</v>
      </c>
      <c r="D31" s="9">
        <v>257.0</v>
      </c>
      <c r="E31" s="9">
        <v>998.0</v>
      </c>
      <c r="F31" s="12">
        <f>sum(F3,F4,F11,F13,F14,F16,F20)</f>
        <v>4214</v>
      </c>
      <c r="G31" s="12">
        <f t="shared" si="9"/>
        <v>168.56</v>
      </c>
      <c r="H31" s="12">
        <f t="shared" ref="H31:I31" si="10">SUM(H3,H4,H11,H13,H14,H16,H20)</f>
        <v>257</v>
      </c>
      <c r="I31" s="12">
        <f t="shared" si="10"/>
        <v>88</v>
      </c>
      <c r="J31" s="13">
        <f t="shared" si="11"/>
        <v>0.3424124514</v>
      </c>
      <c r="K31" s="12">
        <f>SUM(K3,K4,K11,K13,K14,K16,K20)</f>
        <v>39</v>
      </c>
      <c r="L31" s="13">
        <f t="shared" si="12"/>
        <v>0.1517509728</v>
      </c>
      <c r="M31" s="10"/>
      <c r="N31" s="12" t="s">
        <v>23</v>
      </c>
      <c r="O31" s="12">
        <f t="shared" ref="O31:P31" si="13">sum(O3,O4,O11,O13,O14,O16,O20)</f>
        <v>85</v>
      </c>
      <c r="P31" s="12">
        <f t="shared" si="13"/>
        <v>165</v>
      </c>
      <c r="Q31" s="13">
        <f t="shared" si="14"/>
        <v>0.5151515152</v>
      </c>
      <c r="R31" s="12">
        <f t="shared" si="15"/>
        <v>80</v>
      </c>
      <c r="S31" s="12">
        <f t="shared" ref="S31:T31" si="16">sum(S3,S4,S11,S13,S14,S16,S20)</f>
        <v>37</v>
      </c>
      <c r="T31" s="12">
        <f t="shared" si="16"/>
        <v>60</v>
      </c>
      <c r="U31" s="13">
        <f t="shared" si="17"/>
        <v>0.6166666667</v>
      </c>
      <c r="V31" s="12">
        <f t="shared" si="18"/>
        <v>23</v>
      </c>
    </row>
    <row r="32">
      <c r="A32" s="12" t="s">
        <v>24</v>
      </c>
      <c r="B32" s="12">
        <v>25.0</v>
      </c>
      <c r="C32" s="12">
        <f>sum(C2,C6,C12,C15,C18,C19)</f>
        <v>0</v>
      </c>
      <c r="D32" s="9">
        <v>424.0</v>
      </c>
      <c r="E32" s="9">
        <v>804.0</v>
      </c>
      <c r="F32" s="12">
        <f>sum(F2,F6,F12,F15,F18,F19)</f>
        <v>3818</v>
      </c>
      <c r="G32" s="12">
        <f t="shared" si="9"/>
        <v>152.72</v>
      </c>
      <c r="H32" s="12">
        <f t="shared" ref="H32:I32" si="19">sum(H2,H6,H12,H15,H18,H19)</f>
        <v>251</v>
      </c>
      <c r="I32" s="12">
        <f t="shared" si="19"/>
        <v>66</v>
      </c>
      <c r="J32" s="13">
        <f t="shared" si="11"/>
        <v>0.2629482072</v>
      </c>
      <c r="K32" s="12">
        <f>SUM(K2,K6,K12,K15,K18,K19)</f>
        <v>19</v>
      </c>
      <c r="L32" s="13">
        <f t="shared" si="12"/>
        <v>0.07569721116</v>
      </c>
      <c r="M32" s="10"/>
      <c r="N32" s="12" t="s">
        <v>24</v>
      </c>
      <c r="O32" s="12">
        <f t="shared" ref="O32:P32" si="20">sum(O2,O6,O12,O15,O18,O19)</f>
        <v>79</v>
      </c>
      <c r="P32" s="12">
        <f t="shared" si="20"/>
        <v>179</v>
      </c>
      <c r="Q32" s="13">
        <f t="shared" si="14"/>
        <v>0.4413407821</v>
      </c>
      <c r="R32" s="12">
        <f t="shared" si="15"/>
        <v>100</v>
      </c>
      <c r="S32" s="12">
        <f t="shared" ref="S32:T32" si="21">sum(S2,S6,S12,S15,S18,S19)</f>
        <v>37</v>
      </c>
      <c r="T32" s="12">
        <f t="shared" si="21"/>
        <v>61</v>
      </c>
      <c r="U32" s="13">
        <f t="shared" si="17"/>
        <v>0.606557377</v>
      </c>
      <c r="V32" s="12">
        <f t="shared" si="18"/>
        <v>24</v>
      </c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1"/>
      <c r="K33" s="10"/>
      <c r="L33" s="11"/>
      <c r="M33" s="10"/>
      <c r="N33" s="10"/>
      <c r="O33" s="10"/>
      <c r="P33" s="10"/>
      <c r="Q33" s="11"/>
      <c r="R33" s="10"/>
      <c r="S33" s="10"/>
      <c r="T33" s="10"/>
      <c r="U33" s="11"/>
      <c r="V33" s="10"/>
    </row>
    <row r="34">
      <c r="A34" s="12" t="s">
        <v>25</v>
      </c>
      <c r="B34" s="12">
        <v>75.0</v>
      </c>
      <c r="C34" s="12">
        <v>1.0</v>
      </c>
      <c r="D34" s="12">
        <v>254.0</v>
      </c>
      <c r="E34" s="12">
        <v>945.0</v>
      </c>
      <c r="F34" s="12">
        <f>F30+F31+F32</f>
        <v>12766</v>
      </c>
      <c r="G34" s="14">
        <f>F34/B34</f>
        <v>170.2133333</v>
      </c>
      <c r="H34" s="12">
        <f t="shared" ref="H34:I34" si="22">SUM(H30:H32)</f>
        <v>770</v>
      </c>
      <c r="I34" s="12">
        <f t="shared" si="22"/>
        <v>267</v>
      </c>
      <c r="J34" s="13">
        <f>I34/H34</f>
        <v>0.3467532468</v>
      </c>
      <c r="K34" s="12">
        <f>SUM(K30:K32)</f>
        <v>114</v>
      </c>
      <c r="L34" s="13">
        <f>K34/H34</f>
        <v>0.1480519481</v>
      </c>
      <c r="M34" s="10"/>
      <c r="N34" s="12" t="s">
        <v>25</v>
      </c>
      <c r="O34" s="12">
        <f t="shared" ref="O34:P34" si="23">SUM(O30:O32)</f>
        <v>258</v>
      </c>
      <c r="P34" s="12">
        <f t="shared" si="23"/>
        <v>490</v>
      </c>
      <c r="Q34" s="13">
        <f>O34/P34</f>
        <v>0.5265306122</v>
      </c>
      <c r="R34" s="12">
        <f>SUM(R30:R32)</f>
        <v>232</v>
      </c>
      <c r="S34" s="12">
        <f t="shared" ref="S34:T34" si="24">sum(S30:S32)</f>
        <v>126</v>
      </c>
      <c r="T34" s="12">
        <f t="shared" si="24"/>
        <v>189</v>
      </c>
      <c r="U34" s="13">
        <f>S34/T34</f>
        <v>0.6666666667</v>
      </c>
      <c r="V34" s="12">
        <f>SUM(V30:V32)</f>
        <v>63</v>
      </c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8" max="8" width="16.75"/>
    <col customWidth="1" min="9" max="9" width="23.13"/>
  </cols>
  <sheetData>
    <row r="1">
      <c r="A1" s="15" t="s">
        <v>26</v>
      </c>
      <c r="B1" s="15" t="s">
        <v>27</v>
      </c>
      <c r="C1" s="15" t="s">
        <v>28</v>
      </c>
      <c r="D1" s="15" t="s">
        <v>29</v>
      </c>
      <c r="E1" s="15" t="s">
        <v>30</v>
      </c>
      <c r="F1" s="15" t="s">
        <v>31</v>
      </c>
      <c r="G1" s="15" t="s">
        <v>32</v>
      </c>
      <c r="H1" s="15" t="s">
        <v>33</v>
      </c>
      <c r="I1" s="15" t="s">
        <v>34</v>
      </c>
      <c r="J1" s="15" t="s">
        <v>35</v>
      </c>
      <c r="K1" s="15" t="s">
        <v>36</v>
      </c>
      <c r="L1" s="16">
        <v>7.0</v>
      </c>
      <c r="M1" s="15" t="s">
        <v>37</v>
      </c>
      <c r="N1" s="16">
        <v>5.0</v>
      </c>
      <c r="O1" s="15" t="s">
        <v>38</v>
      </c>
      <c r="P1" s="15" t="s">
        <v>39</v>
      </c>
      <c r="Q1" s="15" t="s">
        <v>40</v>
      </c>
      <c r="R1" s="16">
        <v>4.0</v>
      </c>
      <c r="S1" s="15" t="s">
        <v>41</v>
      </c>
      <c r="T1" s="15" t="s">
        <v>42</v>
      </c>
      <c r="U1" s="15" t="s">
        <v>43</v>
      </c>
      <c r="V1" s="15" t="s">
        <v>44</v>
      </c>
      <c r="W1" s="15" t="s">
        <v>45</v>
      </c>
      <c r="X1" s="15" t="s">
        <v>46</v>
      </c>
      <c r="Y1" s="15" t="s">
        <v>47</v>
      </c>
      <c r="Z1" s="15" t="s">
        <v>48</v>
      </c>
      <c r="AA1" s="15" t="s">
        <v>49</v>
      </c>
      <c r="AB1" s="16">
        <v>6.0</v>
      </c>
      <c r="AC1" s="15" t="s">
        <v>50</v>
      </c>
      <c r="AD1" s="15" t="s">
        <v>51</v>
      </c>
      <c r="AE1" s="15" t="s">
        <v>52</v>
      </c>
      <c r="AF1" s="15" t="s">
        <v>53</v>
      </c>
      <c r="AG1" s="15" t="s">
        <v>54</v>
      </c>
      <c r="AH1" s="15" t="s">
        <v>55</v>
      </c>
      <c r="AI1" s="15" t="s">
        <v>56</v>
      </c>
      <c r="AJ1" s="15" t="s">
        <v>57</v>
      </c>
      <c r="AK1" s="15" t="s">
        <v>58</v>
      </c>
      <c r="AL1" s="15" t="s">
        <v>59</v>
      </c>
      <c r="AM1" s="15" t="s">
        <v>60</v>
      </c>
      <c r="AN1" s="15" t="s">
        <v>61</v>
      </c>
      <c r="AO1" s="15" t="s">
        <v>62</v>
      </c>
      <c r="AP1" s="15" t="s">
        <v>63</v>
      </c>
      <c r="AQ1" s="15" t="s">
        <v>64</v>
      </c>
      <c r="AR1" s="15" t="s">
        <v>65</v>
      </c>
      <c r="AS1" s="15" t="s">
        <v>66</v>
      </c>
      <c r="AT1" s="15" t="s">
        <v>67</v>
      </c>
      <c r="AU1" s="15" t="s">
        <v>68</v>
      </c>
      <c r="AV1" s="16">
        <v>10.0</v>
      </c>
      <c r="AW1" s="15" t="s">
        <v>69</v>
      </c>
      <c r="AX1" s="16">
        <v>2.0</v>
      </c>
      <c r="AY1" s="15" t="s">
        <v>70</v>
      </c>
      <c r="AZ1" s="15" t="s">
        <v>71</v>
      </c>
      <c r="BA1" s="15" t="s">
        <v>72</v>
      </c>
      <c r="BB1" s="15" t="s">
        <v>73</v>
      </c>
      <c r="BC1" s="15" t="s">
        <v>74</v>
      </c>
      <c r="BD1" s="16">
        <v>3.0</v>
      </c>
      <c r="BE1" s="15" t="s">
        <v>75</v>
      </c>
      <c r="BF1" s="15" t="s">
        <v>76</v>
      </c>
      <c r="BG1" s="15" t="s">
        <v>77</v>
      </c>
      <c r="BH1" s="15" t="s">
        <v>78</v>
      </c>
      <c r="BI1" s="15" t="s">
        <v>79</v>
      </c>
      <c r="BJ1" s="15" t="s">
        <v>80</v>
      </c>
      <c r="BK1" s="15" t="s">
        <v>81</v>
      </c>
      <c r="BL1" s="16">
        <v>9.0</v>
      </c>
      <c r="BM1" s="15" t="s">
        <v>82</v>
      </c>
      <c r="BN1" s="15" t="s">
        <v>83</v>
      </c>
      <c r="BO1" s="15" t="s">
        <v>84</v>
      </c>
      <c r="BP1" s="15" t="s">
        <v>85</v>
      </c>
      <c r="BQ1" s="15" t="s">
        <v>86</v>
      </c>
      <c r="BR1" s="15" t="s">
        <v>87</v>
      </c>
      <c r="BS1" s="15" t="s">
        <v>88</v>
      </c>
      <c r="BT1" s="15" t="s">
        <v>89</v>
      </c>
      <c r="BU1" s="15" t="s">
        <v>90</v>
      </c>
      <c r="BV1" s="15" t="s">
        <v>91</v>
      </c>
      <c r="BW1" s="15" t="s">
        <v>92</v>
      </c>
      <c r="BX1" s="15" t="s">
        <v>93</v>
      </c>
      <c r="BY1" s="15" t="s">
        <v>94</v>
      </c>
      <c r="BZ1" s="15" t="s">
        <v>95</v>
      </c>
      <c r="CA1" s="15" t="s">
        <v>96</v>
      </c>
      <c r="CB1" s="15" t="s">
        <v>97</v>
      </c>
      <c r="CC1" s="15" t="s">
        <v>98</v>
      </c>
      <c r="CD1" s="15" t="s">
        <v>99</v>
      </c>
      <c r="CE1" s="15" t="s">
        <v>100</v>
      </c>
      <c r="CF1" s="15" t="s">
        <v>101</v>
      </c>
      <c r="CG1" s="15" t="s">
        <v>102</v>
      </c>
      <c r="CH1" s="15" t="s">
        <v>103</v>
      </c>
      <c r="CI1" s="15" t="s">
        <v>104</v>
      </c>
      <c r="CJ1" s="15" t="s">
        <v>105</v>
      </c>
      <c r="CK1" s="15" t="s">
        <v>106</v>
      </c>
      <c r="CL1" s="15" t="s">
        <v>107</v>
      </c>
      <c r="CM1" s="15" t="s">
        <v>108</v>
      </c>
      <c r="CN1" s="15" t="s">
        <v>109</v>
      </c>
      <c r="CO1" s="15" t="s">
        <v>110</v>
      </c>
      <c r="CP1" s="15" t="s">
        <v>111</v>
      </c>
      <c r="CQ1" s="15" t="s">
        <v>112</v>
      </c>
      <c r="CR1" s="15" t="s">
        <v>113</v>
      </c>
      <c r="CS1" s="15" t="s">
        <v>114</v>
      </c>
      <c r="CT1" s="15" t="s">
        <v>115</v>
      </c>
      <c r="CU1" s="15" t="s">
        <v>116</v>
      </c>
      <c r="CV1" s="15" t="s">
        <v>117</v>
      </c>
      <c r="CW1" s="15" t="s">
        <v>118</v>
      </c>
      <c r="CX1" s="15" t="s">
        <v>119</v>
      </c>
      <c r="CY1" s="15" t="s">
        <v>120</v>
      </c>
      <c r="CZ1" s="15" t="s">
        <v>121</v>
      </c>
      <c r="DA1" s="15" t="s">
        <v>122</v>
      </c>
      <c r="DB1" s="15" t="s">
        <v>123</v>
      </c>
      <c r="DC1" s="15" t="s">
        <v>124</v>
      </c>
      <c r="DD1" s="15" t="s">
        <v>125</v>
      </c>
      <c r="DE1" s="15" t="s">
        <v>126</v>
      </c>
      <c r="DF1" s="15" t="s">
        <v>127</v>
      </c>
      <c r="DG1" s="15" t="s">
        <v>128</v>
      </c>
      <c r="DH1" s="16">
        <v>8.0</v>
      </c>
      <c r="DI1" s="15" t="s">
        <v>129</v>
      </c>
      <c r="DJ1" s="15" t="s">
        <v>130</v>
      </c>
      <c r="DK1" s="15" t="s">
        <v>131</v>
      </c>
      <c r="DL1" s="15" t="s">
        <v>132</v>
      </c>
      <c r="DM1" s="15" t="s">
        <v>133</v>
      </c>
      <c r="DN1" s="15" t="s">
        <v>134</v>
      </c>
      <c r="DO1" s="15" t="s">
        <v>135</v>
      </c>
      <c r="DP1" s="15" t="s">
        <v>136</v>
      </c>
      <c r="DQ1" s="15" t="s">
        <v>137</v>
      </c>
      <c r="DR1" s="15" t="s">
        <v>138</v>
      </c>
      <c r="DS1" s="15" t="s">
        <v>139</v>
      </c>
      <c r="DT1" s="15" t="s">
        <v>140</v>
      </c>
      <c r="DU1" s="15" t="s">
        <v>141</v>
      </c>
      <c r="DV1" s="15" t="s">
        <v>142</v>
      </c>
      <c r="DW1" s="15" t="s">
        <v>143</v>
      </c>
      <c r="DX1" s="15" t="s">
        <v>144</v>
      </c>
      <c r="DY1" s="15" t="s">
        <v>145</v>
      </c>
      <c r="DZ1" s="15" t="s">
        <v>146</v>
      </c>
      <c r="EA1" s="15" t="s">
        <v>147</v>
      </c>
      <c r="EB1" s="15" t="s">
        <v>148</v>
      </c>
      <c r="EC1" s="15" t="s">
        <v>149</v>
      </c>
      <c r="ED1" s="15" t="s">
        <v>150</v>
      </c>
      <c r="EE1" s="15" t="s">
        <v>151</v>
      </c>
      <c r="EF1" s="15" t="s">
        <v>152</v>
      </c>
      <c r="EG1" s="15" t="s">
        <v>153</v>
      </c>
      <c r="EH1" s="15" t="s">
        <v>154</v>
      </c>
      <c r="EI1" s="15" t="s">
        <v>155</v>
      </c>
      <c r="EJ1" s="15" t="s">
        <v>156</v>
      </c>
      <c r="EK1" s="15" t="s">
        <v>157</v>
      </c>
      <c r="EL1" s="15" t="s">
        <v>158</v>
      </c>
      <c r="EM1" s="15" t="s">
        <v>159</v>
      </c>
      <c r="EN1" s="15" t="s">
        <v>160</v>
      </c>
      <c r="EO1" s="15" t="s">
        <v>161</v>
      </c>
      <c r="EP1" s="15" t="s">
        <v>162</v>
      </c>
      <c r="EQ1" s="15" t="s">
        <v>163</v>
      </c>
      <c r="ER1" s="15" t="s">
        <v>164</v>
      </c>
      <c r="ES1" s="15" t="s">
        <v>165</v>
      </c>
      <c r="ET1" s="15" t="s">
        <v>166</v>
      </c>
      <c r="EU1" s="15" t="s">
        <v>167</v>
      </c>
      <c r="EV1" s="15" t="s">
        <v>168</v>
      </c>
      <c r="EW1" s="15" t="s">
        <v>169</v>
      </c>
      <c r="EX1" s="15" t="s">
        <v>170</v>
      </c>
      <c r="EY1" s="15" t="s">
        <v>171</v>
      </c>
      <c r="EZ1" s="15" t="s">
        <v>172</v>
      </c>
      <c r="FA1" s="15" t="s">
        <v>173</v>
      </c>
      <c r="FB1" s="15" t="s">
        <v>174</v>
      </c>
      <c r="FC1" s="15" t="s">
        <v>175</v>
      </c>
      <c r="FD1" s="15" t="s">
        <v>176</v>
      </c>
      <c r="FE1" s="15" t="s">
        <v>177</v>
      </c>
      <c r="FF1" s="15" t="s">
        <v>178</v>
      </c>
      <c r="FG1" s="15" t="s">
        <v>179</v>
      </c>
      <c r="FH1" s="15" t="s">
        <v>180</v>
      </c>
      <c r="FI1" s="15" t="s">
        <v>181</v>
      </c>
      <c r="FJ1" s="15" t="s">
        <v>182</v>
      </c>
      <c r="FK1" s="15" t="s">
        <v>183</v>
      </c>
      <c r="FL1" s="15" t="s">
        <v>184</v>
      </c>
      <c r="FM1" s="15" t="s">
        <v>185</v>
      </c>
      <c r="FN1" s="15" t="s">
        <v>186</v>
      </c>
      <c r="FO1" s="15" t="s">
        <v>187</v>
      </c>
      <c r="FP1" s="15" t="s">
        <v>188</v>
      </c>
      <c r="FQ1" s="15" t="s">
        <v>189</v>
      </c>
      <c r="FR1" s="15" t="s">
        <v>190</v>
      </c>
      <c r="FS1" s="15" t="s">
        <v>191</v>
      </c>
      <c r="FT1" s="15" t="s">
        <v>192</v>
      </c>
      <c r="FU1" s="15" t="s">
        <v>193</v>
      </c>
      <c r="FV1" s="15" t="s">
        <v>194</v>
      </c>
      <c r="FW1" s="15" t="s">
        <v>195</v>
      </c>
    </row>
    <row r="2">
      <c r="A2" s="15" t="s">
        <v>196</v>
      </c>
      <c r="B2" s="16">
        <v>1.0</v>
      </c>
      <c r="C2" s="16">
        <v>1.0</v>
      </c>
      <c r="D2" s="16">
        <v>1.0</v>
      </c>
      <c r="E2" s="16">
        <v>1.0</v>
      </c>
      <c r="F2" s="16">
        <v>1.0</v>
      </c>
      <c r="G2" s="16">
        <v>0.0</v>
      </c>
      <c r="H2" s="16">
        <v>2.0</v>
      </c>
      <c r="I2" s="16">
        <v>2.0</v>
      </c>
      <c r="J2" s="16">
        <v>1.0</v>
      </c>
      <c r="K2" s="16">
        <v>1.0</v>
      </c>
      <c r="L2" s="16">
        <v>1.0</v>
      </c>
      <c r="M2" s="16">
        <v>1.0</v>
      </c>
      <c r="N2" s="16">
        <v>1.0</v>
      </c>
      <c r="O2" s="16">
        <v>0.0</v>
      </c>
      <c r="P2" s="16">
        <v>1.0</v>
      </c>
      <c r="Q2" s="16">
        <v>0.0</v>
      </c>
      <c r="R2" s="16">
        <v>0.0</v>
      </c>
      <c r="S2" s="16">
        <v>0.0</v>
      </c>
      <c r="T2" s="16">
        <v>0.0</v>
      </c>
      <c r="U2" s="16">
        <v>0.0</v>
      </c>
      <c r="V2" s="16">
        <v>2.0</v>
      </c>
      <c r="W2" s="16">
        <v>2.0</v>
      </c>
      <c r="X2" s="16">
        <v>0.0</v>
      </c>
      <c r="Y2" s="16">
        <v>0.0</v>
      </c>
      <c r="Z2" s="16">
        <v>0.0</v>
      </c>
      <c r="AA2" s="16">
        <v>0.0</v>
      </c>
      <c r="AB2" s="16">
        <v>1.0</v>
      </c>
      <c r="AC2" s="16">
        <v>1.0</v>
      </c>
      <c r="AD2" s="16">
        <v>0.0</v>
      </c>
      <c r="AE2" s="16">
        <v>0.0</v>
      </c>
      <c r="AF2" s="16">
        <v>1.0</v>
      </c>
      <c r="AG2" s="16">
        <v>0.0</v>
      </c>
      <c r="AH2" s="16">
        <v>0.0</v>
      </c>
      <c r="AI2" s="16">
        <v>0.0</v>
      </c>
      <c r="AJ2" s="16">
        <v>0.0</v>
      </c>
      <c r="AK2" s="16">
        <v>0.0</v>
      </c>
      <c r="AL2" s="16">
        <v>0.0</v>
      </c>
      <c r="AM2" s="16">
        <v>0.0</v>
      </c>
      <c r="AN2" s="16">
        <v>0.0</v>
      </c>
      <c r="AO2" s="16">
        <v>0.0</v>
      </c>
      <c r="AP2" s="16">
        <v>2.0</v>
      </c>
      <c r="AQ2" s="16">
        <v>2.0</v>
      </c>
      <c r="AR2" s="16">
        <v>0.0</v>
      </c>
      <c r="AS2" s="16">
        <v>0.0</v>
      </c>
      <c r="AT2" s="16">
        <v>0.0</v>
      </c>
      <c r="AU2" s="16">
        <v>0.0</v>
      </c>
      <c r="AV2" s="16">
        <v>2.0</v>
      </c>
      <c r="AW2" s="16">
        <v>0.0</v>
      </c>
      <c r="AX2" s="16">
        <v>1.0</v>
      </c>
      <c r="AY2" s="16">
        <v>0.0</v>
      </c>
      <c r="AZ2" s="16">
        <v>0.0</v>
      </c>
      <c r="BA2" s="16">
        <v>0.0</v>
      </c>
      <c r="BB2" s="16">
        <v>0.0</v>
      </c>
      <c r="BC2" s="16">
        <v>0.0</v>
      </c>
      <c r="BD2" s="16">
        <v>2.0</v>
      </c>
      <c r="BE2" s="16">
        <v>1.0</v>
      </c>
      <c r="BF2" s="16">
        <v>0.0</v>
      </c>
      <c r="BG2" s="16">
        <v>0.0</v>
      </c>
      <c r="BH2" s="16">
        <v>0.0</v>
      </c>
      <c r="BI2" s="16">
        <v>0.0</v>
      </c>
      <c r="BJ2" s="16">
        <v>0.0</v>
      </c>
      <c r="BK2" s="16">
        <v>0.0</v>
      </c>
      <c r="BL2" s="16">
        <v>0.0</v>
      </c>
      <c r="BM2" s="16">
        <v>0.0</v>
      </c>
      <c r="BN2" s="16">
        <v>0.0</v>
      </c>
      <c r="BO2" s="16">
        <v>0.0</v>
      </c>
      <c r="BP2" s="16">
        <v>0.0</v>
      </c>
      <c r="BQ2" s="16">
        <v>0.0</v>
      </c>
      <c r="BR2" s="16">
        <v>1.0</v>
      </c>
      <c r="BS2" s="16">
        <v>1.0</v>
      </c>
      <c r="BT2" s="16">
        <v>0.0</v>
      </c>
      <c r="BU2" s="16">
        <v>0.0</v>
      </c>
      <c r="BV2" s="16">
        <v>0.0</v>
      </c>
      <c r="BW2" s="16">
        <v>0.0</v>
      </c>
      <c r="BX2" s="16">
        <v>0.0</v>
      </c>
      <c r="BY2" s="16">
        <v>0.0</v>
      </c>
      <c r="BZ2" s="16">
        <v>0.0</v>
      </c>
      <c r="CA2" s="16">
        <v>0.0</v>
      </c>
      <c r="CB2" s="16">
        <v>0.0</v>
      </c>
      <c r="CC2" s="16">
        <v>0.0</v>
      </c>
      <c r="CD2" s="16">
        <v>0.0</v>
      </c>
      <c r="CE2" s="16">
        <v>0.0</v>
      </c>
      <c r="CF2" s="16">
        <v>0.0</v>
      </c>
      <c r="CG2" s="16">
        <v>0.0</v>
      </c>
      <c r="CH2" s="16">
        <v>0.0</v>
      </c>
      <c r="CI2" s="16">
        <v>0.0</v>
      </c>
      <c r="CJ2" s="16">
        <v>1.0</v>
      </c>
      <c r="CK2" s="16">
        <v>0.0</v>
      </c>
      <c r="CL2" s="16">
        <v>0.0</v>
      </c>
      <c r="CM2" s="16">
        <v>0.0</v>
      </c>
      <c r="CN2" s="16">
        <v>1.0</v>
      </c>
      <c r="CO2" s="16">
        <v>0.0</v>
      </c>
      <c r="CP2" s="16">
        <v>0.0</v>
      </c>
      <c r="CQ2" s="16">
        <v>0.0</v>
      </c>
      <c r="CR2" s="16">
        <v>0.0</v>
      </c>
      <c r="CS2" s="16">
        <v>0.0</v>
      </c>
      <c r="CT2" s="16">
        <v>1.0</v>
      </c>
      <c r="CU2" s="16">
        <v>0.0</v>
      </c>
      <c r="CV2" s="16">
        <v>0.0</v>
      </c>
      <c r="CW2" s="16">
        <v>0.0</v>
      </c>
      <c r="CX2" s="16">
        <v>0.0</v>
      </c>
      <c r="CY2" s="16">
        <v>0.0</v>
      </c>
      <c r="CZ2" s="16">
        <v>0.0</v>
      </c>
      <c r="DA2" s="16">
        <v>0.0</v>
      </c>
      <c r="DB2" s="16">
        <v>0.0</v>
      </c>
      <c r="DC2" s="16">
        <v>0.0</v>
      </c>
      <c r="DD2" s="16">
        <v>0.0</v>
      </c>
      <c r="DE2" s="16">
        <v>0.0</v>
      </c>
      <c r="DF2" s="16">
        <v>0.0</v>
      </c>
      <c r="DG2" s="16">
        <v>0.0</v>
      </c>
      <c r="DH2" s="16">
        <v>1.0</v>
      </c>
      <c r="DI2" s="16">
        <v>1.0</v>
      </c>
      <c r="DJ2" s="16">
        <v>0.0</v>
      </c>
      <c r="DK2" s="16">
        <v>0.0</v>
      </c>
      <c r="DL2" s="16">
        <v>0.0</v>
      </c>
      <c r="DM2" s="16">
        <v>0.0</v>
      </c>
      <c r="DN2" s="16">
        <v>0.0</v>
      </c>
      <c r="DO2" s="16">
        <v>0.0</v>
      </c>
      <c r="DP2" s="16">
        <v>0.0</v>
      </c>
      <c r="DQ2" s="16">
        <v>0.0</v>
      </c>
      <c r="DR2" s="16">
        <v>1.0</v>
      </c>
      <c r="DS2" s="16">
        <v>0.0</v>
      </c>
      <c r="DT2" s="16">
        <v>0.0</v>
      </c>
      <c r="DU2" s="16">
        <v>0.0</v>
      </c>
      <c r="DV2" s="16">
        <v>1.0</v>
      </c>
      <c r="DW2" s="16">
        <v>0.0</v>
      </c>
      <c r="DX2" s="16">
        <v>0.0</v>
      </c>
      <c r="DY2" s="16">
        <v>0.0</v>
      </c>
      <c r="DZ2" s="16">
        <v>0.0</v>
      </c>
      <c r="EA2" s="16">
        <v>0.0</v>
      </c>
      <c r="EB2" s="16">
        <v>0.0</v>
      </c>
      <c r="EC2" s="16">
        <v>0.0</v>
      </c>
      <c r="ED2" s="16">
        <v>0.0</v>
      </c>
      <c r="EE2" s="16">
        <v>0.0</v>
      </c>
      <c r="EF2" s="16">
        <v>0.0</v>
      </c>
      <c r="EG2" s="16">
        <v>0.0</v>
      </c>
      <c r="EH2" s="16">
        <v>0.0</v>
      </c>
      <c r="EI2" s="16">
        <v>0.0</v>
      </c>
      <c r="EJ2" s="16">
        <v>0.0</v>
      </c>
      <c r="EK2" s="16">
        <v>0.0</v>
      </c>
      <c r="EL2" s="16">
        <v>0.0</v>
      </c>
      <c r="EM2" s="16">
        <v>0.0</v>
      </c>
      <c r="EN2" s="16">
        <v>1.0</v>
      </c>
      <c r="EO2" s="16">
        <v>1.0</v>
      </c>
      <c r="EP2" s="16">
        <v>0.0</v>
      </c>
      <c r="EQ2" s="16">
        <v>0.0</v>
      </c>
      <c r="ER2" s="16">
        <v>0.0</v>
      </c>
      <c r="ES2" s="16">
        <v>0.0</v>
      </c>
      <c r="ET2" s="16">
        <v>0.0</v>
      </c>
      <c r="EU2" s="16">
        <v>0.0</v>
      </c>
      <c r="EV2" s="16">
        <v>1.0</v>
      </c>
      <c r="EW2" s="16">
        <v>1.0</v>
      </c>
      <c r="EX2" s="16">
        <v>0.0</v>
      </c>
      <c r="EY2" s="16">
        <v>0.0</v>
      </c>
      <c r="EZ2" s="16">
        <v>0.0</v>
      </c>
      <c r="FA2" s="16">
        <v>0.0</v>
      </c>
      <c r="FB2" s="16">
        <v>0.0</v>
      </c>
      <c r="FC2" s="16">
        <v>0.0</v>
      </c>
      <c r="FD2" s="16">
        <v>0.0</v>
      </c>
      <c r="FE2" s="16">
        <v>0.0</v>
      </c>
      <c r="FF2" s="16">
        <v>2.0</v>
      </c>
      <c r="FG2" s="16">
        <v>1.0</v>
      </c>
      <c r="FH2" s="16">
        <v>0.0</v>
      </c>
      <c r="FI2" s="16">
        <v>0.0</v>
      </c>
      <c r="FJ2" s="16">
        <v>0.0</v>
      </c>
      <c r="FK2" s="16">
        <v>0.0</v>
      </c>
      <c r="FL2" s="16">
        <v>0.0</v>
      </c>
      <c r="FM2" s="16">
        <v>0.0</v>
      </c>
      <c r="FN2" s="16">
        <v>0.0</v>
      </c>
      <c r="FO2" s="16">
        <v>0.0</v>
      </c>
      <c r="FP2" s="16">
        <v>0.0</v>
      </c>
      <c r="FQ2" s="16">
        <v>0.0</v>
      </c>
      <c r="FR2" s="16">
        <v>0.0</v>
      </c>
      <c r="FS2" s="16">
        <v>0.0</v>
      </c>
      <c r="FT2" s="16">
        <v>0.0</v>
      </c>
      <c r="FU2" s="16">
        <v>0.0</v>
      </c>
      <c r="FV2" s="16">
        <v>1.0</v>
      </c>
      <c r="FW2" s="16">
        <v>1.0</v>
      </c>
    </row>
    <row r="3">
      <c r="A3" s="15" t="s">
        <v>197</v>
      </c>
      <c r="B3" s="16">
        <v>0.0</v>
      </c>
      <c r="C3" s="16">
        <v>0.0</v>
      </c>
      <c r="D3" s="16">
        <v>0.0</v>
      </c>
      <c r="E3" s="16">
        <v>0.0</v>
      </c>
      <c r="F3" s="16">
        <v>0.0</v>
      </c>
      <c r="G3" s="16">
        <v>0.0</v>
      </c>
      <c r="H3" s="16">
        <v>1.0</v>
      </c>
      <c r="I3" s="16">
        <v>1.0</v>
      </c>
      <c r="J3" s="16">
        <v>0.0</v>
      </c>
      <c r="K3" s="16">
        <v>0.0</v>
      </c>
      <c r="L3" s="16">
        <v>0.0</v>
      </c>
      <c r="M3" s="16">
        <v>0.0</v>
      </c>
      <c r="N3" s="16">
        <v>1.0</v>
      </c>
      <c r="O3" s="16">
        <v>1.0</v>
      </c>
      <c r="P3" s="16">
        <v>0.0</v>
      </c>
      <c r="Q3" s="16">
        <v>0.0</v>
      </c>
      <c r="R3" s="16">
        <v>4.0</v>
      </c>
      <c r="S3" s="16">
        <v>3.0</v>
      </c>
      <c r="T3" s="16">
        <v>1.0</v>
      </c>
      <c r="U3" s="16">
        <v>0.0</v>
      </c>
      <c r="V3" s="16">
        <v>1.0</v>
      </c>
      <c r="W3" s="16">
        <v>1.0</v>
      </c>
      <c r="X3" s="16">
        <v>4.0</v>
      </c>
      <c r="Y3" s="16">
        <v>2.0</v>
      </c>
      <c r="Z3" s="16">
        <v>2.0</v>
      </c>
      <c r="AA3" s="16">
        <v>1.0</v>
      </c>
      <c r="AB3" s="16">
        <v>3.0</v>
      </c>
      <c r="AC3" s="16">
        <v>1.0</v>
      </c>
      <c r="AD3" s="16">
        <v>1.0</v>
      </c>
      <c r="AE3" s="16">
        <v>1.0</v>
      </c>
      <c r="AF3" s="16">
        <v>1.0</v>
      </c>
      <c r="AG3" s="16">
        <v>0.0</v>
      </c>
      <c r="AH3" s="16">
        <v>2.0</v>
      </c>
      <c r="AI3" s="16">
        <v>0.0</v>
      </c>
      <c r="AJ3" s="16">
        <v>0.0</v>
      </c>
      <c r="AK3" s="16">
        <v>0.0</v>
      </c>
      <c r="AL3" s="16">
        <v>0.0</v>
      </c>
      <c r="AM3" s="16">
        <v>0.0</v>
      </c>
      <c r="AN3" s="16">
        <v>0.0</v>
      </c>
      <c r="AO3" s="16">
        <v>0.0</v>
      </c>
      <c r="AP3" s="16">
        <v>1.0</v>
      </c>
      <c r="AQ3" s="16">
        <v>1.0</v>
      </c>
      <c r="AR3" s="16">
        <v>0.0</v>
      </c>
      <c r="AS3" s="16">
        <v>0.0</v>
      </c>
      <c r="AT3" s="16">
        <v>0.0</v>
      </c>
      <c r="AU3" s="16">
        <v>0.0</v>
      </c>
      <c r="AV3" s="16">
        <v>1.0</v>
      </c>
      <c r="AW3" s="16">
        <v>1.0</v>
      </c>
      <c r="AX3" s="16">
        <v>0.0</v>
      </c>
      <c r="AY3" s="16">
        <v>0.0</v>
      </c>
      <c r="AZ3" s="16">
        <v>0.0</v>
      </c>
      <c r="BA3" s="16">
        <v>0.0</v>
      </c>
      <c r="BB3" s="16">
        <v>0.0</v>
      </c>
      <c r="BC3" s="16">
        <v>0.0</v>
      </c>
      <c r="BD3" s="16">
        <v>6.0</v>
      </c>
      <c r="BE3" s="16">
        <v>1.0</v>
      </c>
      <c r="BF3" s="16">
        <v>0.0</v>
      </c>
      <c r="BG3" s="16">
        <v>0.0</v>
      </c>
      <c r="BH3" s="16">
        <v>0.0</v>
      </c>
      <c r="BI3" s="16">
        <v>0.0</v>
      </c>
      <c r="BJ3" s="16">
        <v>0.0</v>
      </c>
      <c r="BK3" s="16">
        <v>0.0</v>
      </c>
      <c r="BL3" s="16">
        <v>0.0</v>
      </c>
      <c r="BM3" s="16">
        <v>0.0</v>
      </c>
      <c r="BN3" s="16">
        <v>0.0</v>
      </c>
      <c r="BO3" s="16">
        <v>0.0</v>
      </c>
      <c r="BP3" s="16">
        <v>0.0</v>
      </c>
      <c r="BQ3" s="16">
        <v>0.0</v>
      </c>
      <c r="BR3" s="16">
        <v>0.0</v>
      </c>
      <c r="BS3" s="16">
        <v>0.0</v>
      </c>
      <c r="BT3" s="16">
        <v>0.0</v>
      </c>
      <c r="BU3" s="16">
        <v>0.0</v>
      </c>
      <c r="BV3" s="16">
        <v>0.0</v>
      </c>
      <c r="BW3" s="16">
        <v>0.0</v>
      </c>
      <c r="BX3" s="16">
        <v>0.0</v>
      </c>
      <c r="BY3" s="16">
        <v>0.0</v>
      </c>
      <c r="BZ3" s="16">
        <v>0.0</v>
      </c>
      <c r="CA3" s="16">
        <v>0.0</v>
      </c>
      <c r="CB3" s="16">
        <v>0.0</v>
      </c>
      <c r="CC3" s="16">
        <v>0.0</v>
      </c>
      <c r="CD3" s="16">
        <v>0.0</v>
      </c>
      <c r="CE3" s="16">
        <v>0.0</v>
      </c>
      <c r="CF3" s="16">
        <v>0.0</v>
      </c>
      <c r="CG3" s="16">
        <v>0.0</v>
      </c>
      <c r="CH3" s="16">
        <v>0.0</v>
      </c>
      <c r="CI3" s="16">
        <v>0.0</v>
      </c>
      <c r="CJ3" s="16">
        <v>1.0</v>
      </c>
      <c r="CK3" s="16">
        <v>1.0</v>
      </c>
      <c r="CL3" s="16">
        <v>0.0</v>
      </c>
      <c r="CM3" s="16">
        <v>0.0</v>
      </c>
      <c r="CN3" s="16">
        <v>0.0</v>
      </c>
      <c r="CO3" s="16">
        <v>0.0</v>
      </c>
      <c r="CP3" s="16">
        <v>0.0</v>
      </c>
      <c r="CQ3" s="16">
        <v>0.0</v>
      </c>
      <c r="CR3" s="16">
        <v>0.0</v>
      </c>
      <c r="CS3" s="16">
        <v>0.0</v>
      </c>
      <c r="CT3" s="16">
        <v>0.0</v>
      </c>
      <c r="CU3" s="16">
        <v>0.0</v>
      </c>
      <c r="CV3" s="16">
        <v>0.0</v>
      </c>
      <c r="CW3" s="16">
        <v>0.0</v>
      </c>
      <c r="CX3" s="16">
        <v>0.0</v>
      </c>
      <c r="CY3" s="16">
        <v>0.0</v>
      </c>
      <c r="CZ3" s="16">
        <v>0.0</v>
      </c>
      <c r="DA3" s="16">
        <v>0.0</v>
      </c>
      <c r="DB3" s="16">
        <v>0.0</v>
      </c>
      <c r="DC3" s="16">
        <v>0.0</v>
      </c>
      <c r="DD3" s="16">
        <v>0.0</v>
      </c>
      <c r="DE3" s="16">
        <v>0.0</v>
      </c>
      <c r="DF3" s="16">
        <v>0.0</v>
      </c>
      <c r="DG3" s="16">
        <v>0.0</v>
      </c>
      <c r="DH3" s="16">
        <v>0.0</v>
      </c>
      <c r="DI3" s="16">
        <v>0.0</v>
      </c>
      <c r="DJ3" s="16">
        <v>0.0</v>
      </c>
      <c r="DK3" s="16">
        <v>0.0</v>
      </c>
      <c r="DL3" s="16">
        <v>1.0</v>
      </c>
      <c r="DM3" s="16">
        <v>1.0</v>
      </c>
      <c r="DN3" s="16">
        <v>0.0</v>
      </c>
      <c r="DO3" s="16">
        <v>0.0</v>
      </c>
      <c r="DP3" s="16">
        <v>0.0</v>
      </c>
      <c r="DQ3" s="16">
        <v>0.0</v>
      </c>
      <c r="DR3" s="16">
        <v>1.0</v>
      </c>
      <c r="DS3" s="16">
        <v>1.0</v>
      </c>
      <c r="DT3" s="16">
        <v>0.0</v>
      </c>
      <c r="DU3" s="16">
        <v>0.0</v>
      </c>
      <c r="DV3" s="16">
        <v>0.0</v>
      </c>
      <c r="DW3" s="16">
        <v>0.0</v>
      </c>
      <c r="DX3" s="16">
        <v>0.0</v>
      </c>
      <c r="DY3" s="16">
        <v>0.0</v>
      </c>
      <c r="DZ3" s="16">
        <v>0.0</v>
      </c>
      <c r="EA3" s="16">
        <v>0.0</v>
      </c>
      <c r="EB3" s="16">
        <v>0.0</v>
      </c>
      <c r="EC3" s="16">
        <v>0.0</v>
      </c>
      <c r="ED3" s="16">
        <v>0.0</v>
      </c>
      <c r="EE3" s="16">
        <v>0.0</v>
      </c>
      <c r="EF3" s="16">
        <v>0.0</v>
      </c>
      <c r="EG3" s="16">
        <v>0.0</v>
      </c>
      <c r="EH3" s="16">
        <v>0.0</v>
      </c>
      <c r="EI3" s="16">
        <v>0.0</v>
      </c>
      <c r="EJ3" s="16">
        <v>0.0</v>
      </c>
      <c r="EK3" s="16">
        <v>0.0</v>
      </c>
      <c r="EL3" s="16">
        <v>0.0</v>
      </c>
      <c r="EM3" s="16">
        <v>0.0</v>
      </c>
      <c r="EN3" s="16">
        <v>0.0</v>
      </c>
      <c r="EO3" s="16">
        <v>0.0</v>
      </c>
      <c r="EP3" s="16">
        <v>0.0</v>
      </c>
      <c r="EQ3" s="16">
        <v>0.0</v>
      </c>
      <c r="ER3" s="16">
        <v>0.0</v>
      </c>
      <c r="ES3" s="16">
        <v>0.0</v>
      </c>
      <c r="ET3" s="16">
        <v>0.0</v>
      </c>
      <c r="EU3" s="16">
        <v>0.0</v>
      </c>
      <c r="EV3" s="16">
        <v>0.0</v>
      </c>
      <c r="EW3" s="16">
        <v>0.0</v>
      </c>
      <c r="EX3" s="16">
        <v>0.0</v>
      </c>
      <c r="EY3" s="16">
        <v>0.0</v>
      </c>
      <c r="EZ3" s="16">
        <v>0.0</v>
      </c>
      <c r="FA3" s="16">
        <v>0.0</v>
      </c>
      <c r="FB3" s="16">
        <v>0.0</v>
      </c>
      <c r="FC3" s="16">
        <v>0.0</v>
      </c>
      <c r="FD3" s="16">
        <v>0.0</v>
      </c>
      <c r="FE3" s="16">
        <v>0.0</v>
      </c>
      <c r="FF3" s="16">
        <v>0.0</v>
      </c>
      <c r="FG3" s="16">
        <v>0.0</v>
      </c>
      <c r="FH3" s="16">
        <v>0.0</v>
      </c>
      <c r="FI3" s="16">
        <v>0.0</v>
      </c>
      <c r="FJ3" s="16">
        <v>0.0</v>
      </c>
      <c r="FK3" s="16">
        <v>0.0</v>
      </c>
      <c r="FL3" s="16">
        <v>0.0</v>
      </c>
      <c r="FM3" s="16">
        <v>0.0</v>
      </c>
      <c r="FN3" s="16">
        <v>0.0</v>
      </c>
      <c r="FO3" s="16">
        <v>0.0</v>
      </c>
      <c r="FP3" s="16">
        <v>0.0</v>
      </c>
      <c r="FQ3" s="16">
        <v>0.0</v>
      </c>
      <c r="FR3" s="16">
        <v>1.0</v>
      </c>
      <c r="FS3" s="16">
        <v>0.0</v>
      </c>
      <c r="FT3" s="16">
        <v>0.0</v>
      </c>
      <c r="FU3" s="16">
        <v>0.0</v>
      </c>
      <c r="FV3" s="16">
        <v>0.0</v>
      </c>
      <c r="FW3" s="16">
        <v>0.0</v>
      </c>
    </row>
    <row r="4">
      <c r="A4" s="15" t="s">
        <v>198</v>
      </c>
      <c r="B4" s="16">
        <v>0.0</v>
      </c>
      <c r="C4" s="16">
        <v>0.0</v>
      </c>
      <c r="D4" s="16">
        <v>1.0</v>
      </c>
      <c r="E4" s="16">
        <v>1.0</v>
      </c>
      <c r="F4" s="16">
        <v>1.0</v>
      </c>
      <c r="G4" s="16">
        <v>0.0</v>
      </c>
      <c r="H4" s="16">
        <v>2.0</v>
      </c>
      <c r="I4" s="16">
        <v>2.0</v>
      </c>
      <c r="J4" s="16">
        <v>0.0</v>
      </c>
      <c r="K4" s="16">
        <v>0.0</v>
      </c>
      <c r="L4" s="16">
        <v>1.0</v>
      </c>
      <c r="M4" s="16">
        <v>0.0</v>
      </c>
      <c r="N4" s="16">
        <v>0.0</v>
      </c>
      <c r="O4" s="16">
        <v>0.0</v>
      </c>
      <c r="P4" s="16">
        <v>0.0</v>
      </c>
      <c r="Q4" s="16">
        <v>0.0</v>
      </c>
      <c r="R4" s="16">
        <v>1.0</v>
      </c>
      <c r="S4" s="16">
        <v>0.0</v>
      </c>
      <c r="T4" s="16">
        <v>1.0</v>
      </c>
      <c r="U4" s="16">
        <v>1.0</v>
      </c>
      <c r="V4" s="16">
        <v>0.0</v>
      </c>
      <c r="W4" s="16">
        <v>0.0</v>
      </c>
      <c r="X4" s="16">
        <v>0.0</v>
      </c>
      <c r="Y4" s="16">
        <v>0.0</v>
      </c>
      <c r="Z4" s="16">
        <v>1.0</v>
      </c>
      <c r="AA4" s="16">
        <v>1.0</v>
      </c>
      <c r="AB4" s="16">
        <v>3.0</v>
      </c>
      <c r="AC4" s="16">
        <v>1.0</v>
      </c>
      <c r="AD4" s="16">
        <v>0.0</v>
      </c>
      <c r="AE4" s="16">
        <v>0.0</v>
      </c>
      <c r="AF4" s="16">
        <v>1.0</v>
      </c>
      <c r="AG4" s="16">
        <v>1.0</v>
      </c>
      <c r="AH4" s="16">
        <v>1.0</v>
      </c>
      <c r="AI4" s="16">
        <v>0.0</v>
      </c>
      <c r="AJ4" s="16">
        <v>1.0</v>
      </c>
      <c r="AK4" s="16">
        <v>0.0</v>
      </c>
      <c r="AL4" s="16">
        <v>0.0</v>
      </c>
      <c r="AM4" s="16">
        <v>0.0</v>
      </c>
      <c r="AN4" s="16">
        <v>1.0</v>
      </c>
      <c r="AO4" s="16">
        <v>1.0</v>
      </c>
      <c r="AP4" s="16">
        <v>0.0</v>
      </c>
      <c r="AQ4" s="16">
        <v>0.0</v>
      </c>
      <c r="AR4" s="16">
        <v>0.0</v>
      </c>
      <c r="AS4" s="16">
        <v>0.0</v>
      </c>
      <c r="AT4" s="16">
        <v>0.0</v>
      </c>
      <c r="AU4" s="16">
        <v>0.0</v>
      </c>
      <c r="AV4" s="16">
        <v>3.0</v>
      </c>
      <c r="AW4" s="16">
        <v>1.0</v>
      </c>
      <c r="AX4" s="16">
        <v>2.0</v>
      </c>
      <c r="AY4" s="16">
        <v>1.0</v>
      </c>
      <c r="AZ4" s="16">
        <v>0.0</v>
      </c>
      <c r="BA4" s="16">
        <v>0.0</v>
      </c>
      <c r="BB4" s="16">
        <v>0.0</v>
      </c>
      <c r="BC4" s="16">
        <v>0.0</v>
      </c>
      <c r="BD4" s="16">
        <v>0.0</v>
      </c>
      <c r="BE4" s="16">
        <v>0.0</v>
      </c>
      <c r="BF4" s="16">
        <v>0.0</v>
      </c>
      <c r="BG4" s="16">
        <v>0.0</v>
      </c>
      <c r="BH4" s="16">
        <v>0.0</v>
      </c>
      <c r="BI4" s="16">
        <v>0.0</v>
      </c>
      <c r="BJ4" s="16">
        <v>0.0</v>
      </c>
      <c r="BK4" s="16">
        <v>0.0</v>
      </c>
      <c r="BL4" s="16">
        <v>0.0</v>
      </c>
      <c r="BM4" s="16">
        <v>0.0</v>
      </c>
      <c r="BN4" s="16">
        <v>0.0</v>
      </c>
      <c r="BO4" s="16">
        <v>0.0</v>
      </c>
      <c r="BP4" s="16">
        <v>0.0</v>
      </c>
      <c r="BQ4" s="16">
        <v>0.0</v>
      </c>
      <c r="BR4" s="16">
        <v>0.0</v>
      </c>
      <c r="BS4" s="16">
        <v>0.0</v>
      </c>
      <c r="BT4" s="16">
        <v>0.0</v>
      </c>
      <c r="BU4" s="16">
        <v>0.0</v>
      </c>
      <c r="BV4" s="16">
        <v>0.0</v>
      </c>
      <c r="BW4" s="16">
        <v>0.0</v>
      </c>
      <c r="BX4" s="16">
        <v>0.0</v>
      </c>
      <c r="BY4" s="16">
        <v>0.0</v>
      </c>
      <c r="BZ4" s="16">
        <v>0.0</v>
      </c>
      <c r="CA4" s="16">
        <v>0.0</v>
      </c>
      <c r="CB4" s="16">
        <v>0.0</v>
      </c>
      <c r="CC4" s="16">
        <v>0.0</v>
      </c>
      <c r="CD4" s="16">
        <v>0.0</v>
      </c>
      <c r="CE4" s="16">
        <v>0.0</v>
      </c>
      <c r="CF4" s="16">
        <v>0.0</v>
      </c>
      <c r="CG4" s="16">
        <v>0.0</v>
      </c>
      <c r="CH4" s="16">
        <v>0.0</v>
      </c>
      <c r="CI4" s="16">
        <v>0.0</v>
      </c>
      <c r="CJ4" s="16">
        <v>1.0</v>
      </c>
      <c r="CK4" s="16">
        <v>1.0</v>
      </c>
      <c r="CL4" s="16">
        <v>0.0</v>
      </c>
      <c r="CM4" s="16">
        <v>0.0</v>
      </c>
      <c r="CN4" s="16">
        <v>3.0</v>
      </c>
      <c r="CO4" s="16">
        <v>0.0</v>
      </c>
      <c r="CP4" s="16">
        <v>1.0</v>
      </c>
      <c r="CQ4" s="16">
        <v>1.0</v>
      </c>
      <c r="CR4" s="16">
        <v>1.0</v>
      </c>
      <c r="CS4" s="16">
        <v>0.0</v>
      </c>
      <c r="CT4" s="16">
        <v>0.0</v>
      </c>
      <c r="CU4" s="16">
        <v>0.0</v>
      </c>
      <c r="CV4" s="16">
        <v>0.0</v>
      </c>
      <c r="CW4" s="16">
        <v>0.0</v>
      </c>
      <c r="CX4" s="16">
        <v>1.0</v>
      </c>
      <c r="CY4" s="16">
        <v>1.0</v>
      </c>
      <c r="CZ4" s="16">
        <v>0.0</v>
      </c>
      <c r="DA4" s="16">
        <v>0.0</v>
      </c>
      <c r="DB4" s="16">
        <v>0.0</v>
      </c>
      <c r="DC4" s="16">
        <v>0.0</v>
      </c>
      <c r="DD4" s="16">
        <v>0.0</v>
      </c>
      <c r="DE4" s="16">
        <v>0.0</v>
      </c>
      <c r="DF4" s="16">
        <v>0.0</v>
      </c>
      <c r="DG4" s="16">
        <v>0.0</v>
      </c>
      <c r="DH4" s="16">
        <v>0.0</v>
      </c>
      <c r="DI4" s="16">
        <v>0.0</v>
      </c>
      <c r="DJ4" s="16">
        <v>0.0</v>
      </c>
      <c r="DK4" s="16">
        <v>0.0</v>
      </c>
      <c r="DL4" s="16">
        <v>0.0</v>
      </c>
      <c r="DM4" s="16">
        <v>0.0</v>
      </c>
      <c r="DN4" s="16">
        <v>0.0</v>
      </c>
      <c r="DO4" s="16">
        <v>0.0</v>
      </c>
      <c r="DP4" s="16">
        <v>0.0</v>
      </c>
      <c r="DQ4" s="16">
        <v>0.0</v>
      </c>
      <c r="DR4" s="16">
        <v>0.0</v>
      </c>
      <c r="DS4" s="16">
        <v>0.0</v>
      </c>
      <c r="DT4" s="16">
        <v>0.0</v>
      </c>
      <c r="DU4" s="16">
        <v>0.0</v>
      </c>
      <c r="DV4" s="16">
        <v>0.0</v>
      </c>
      <c r="DW4" s="16">
        <v>0.0</v>
      </c>
      <c r="DX4" s="16">
        <v>0.0</v>
      </c>
      <c r="DY4" s="16">
        <v>0.0</v>
      </c>
      <c r="DZ4" s="16">
        <v>0.0</v>
      </c>
      <c r="EA4" s="16">
        <v>0.0</v>
      </c>
      <c r="EB4" s="16">
        <v>0.0</v>
      </c>
      <c r="EC4" s="16">
        <v>0.0</v>
      </c>
      <c r="ED4" s="16">
        <v>0.0</v>
      </c>
      <c r="EE4" s="16">
        <v>0.0</v>
      </c>
      <c r="EF4" s="16">
        <v>0.0</v>
      </c>
      <c r="EG4" s="16">
        <v>0.0</v>
      </c>
      <c r="EH4" s="16">
        <v>0.0</v>
      </c>
      <c r="EI4" s="16">
        <v>0.0</v>
      </c>
      <c r="EJ4" s="16">
        <v>0.0</v>
      </c>
      <c r="EK4" s="16">
        <v>0.0</v>
      </c>
      <c r="EL4" s="16">
        <v>0.0</v>
      </c>
      <c r="EM4" s="16">
        <v>0.0</v>
      </c>
      <c r="EN4" s="16">
        <v>0.0</v>
      </c>
      <c r="EO4" s="16">
        <v>0.0</v>
      </c>
      <c r="EP4" s="16">
        <v>0.0</v>
      </c>
      <c r="EQ4" s="16">
        <v>0.0</v>
      </c>
      <c r="ER4" s="16">
        <v>0.0</v>
      </c>
      <c r="ES4" s="16">
        <v>0.0</v>
      </c>
      <c r="ET4" s="16">
        <v>0.0</v>
      </c>
      <c r="EU4" s="16">
        <v>0.0</v>
      </c>
      <c r="EV4" s="16">
        <v>0.0</v>
      </c>
      <c r="EW4" s="16">
        <v>0.0</v>
      </c>
      <c r="EX4" s="16">
        <v>0.0</v>
      </c>
      <c r="EY4" s="16">
        <v>0.0</v>
      </c>
      <c r="EZ4" s="16">
        <v>0.0</v>
      </c>
      <c r="FA4" s="16">
        <v>0.0</v>
      </c>
      <c r="FB4" s="16">
        <v>0.0</v>
      </c>
      <c r="FC4" s="16">
        <v>0.0</v>
      </c>
      <c r="FD4" s="16">
        <v>1.0</v>
      </c>
      <c r="FE4" s="16">
        <v>0.0</v>
      </c>
      <c r="FF4" s="16">
        <v>0.0</v>
      </c>
      <c r="FG4" s="16">
        <v>0.0</v>
      </c>
      <c r="FH4" s="16">
        <v>0.0</v>
      </c>
      <c r="FI4" s="16">
        <v>0.0</v>
      </c>
      <c r="FJ4" s="16">
        <v>0.0</v>
      </c>
      <c r="FK4" s="16">
        <v>0.0</v>
      </c>
      <c r="FL4" s="16">
        <v>0.0</v>
      </c>
      <c r="FM4" s="16">
        <v>0.0</v>
      </c>
      <c r="FN4" s="16">
        <v>0.0</v>
      </c>
      <c r="FO4" s="16">
        <v>0.0</v>
      </c>
      <c r="FP4" s="16">
        <v>0.0</v>
      </c>
      <c r="FQ4" s="16">
        <v>0.0</v>
      </c>
      <c r="FR4" s="16">
        <v>0.0</v>
      </c>
      <c r="FS4" s="16">
        <v>0.0</v>
      </c>
      <c r="FT4" s="16">
        <v>0.0</v>
      </c>
      <c r="FU4" s="16">
        <v>0.0</v>
      </c>
      <c r="FV4" s="16">
        <v>0.0</v>
      </c>
      <c r="FW4" s="16">
        <v>0.0</v>
      </c>
    </row>
    <row r="5">
      <c r="A5" s="15" t="s">
        <v>199</v>
      </c>
      <c r="B5" s="16">
        <v>0.0</v>
      </c>
      <c r="C5" s="16">
        <v>0.0</v>
      </c>
      <c r="D5" s="16">
        <v>0.0</v>
      </c>
      <c r="E5" s="16">
        <v>0.0</v>
      </c>
      <c r="F5" s="16">
        <v>1.0</v>
      </c>
      <c r="G5" s="16">
        <v>0.0</v>
      </c>
      <c r="H5" s="16">
        <v>0.0</v>
      </c>
      <c r="I5" s="16">
        <v>0.0</v>
      </c>
      <c r="J5" s="16">
        <v>0.0</v>
      </c>
      <c r="K5" s="16">
        <v>0.0</v>
      </c>
      <c r="L5" s="16">
        <v>0.0</v>
      </c>
      <c r="M5" s="16">
        <v>0.0</v>
      </c>
      <c r="N5" s="16">
        <v>0.0</v>
      </c>
      <c r="O5" s="16">
        <v>0.0</v>
      </c>
      <c r="P5" s="16">
        <v>0.0</v>
      </c>
      <c r="Q5" s="16">
        <v>0.0</v>
      </c>
      <c r="R5" s="16">
        <v>2.0</v>
      </c>
      <c r="S5" s="16">
        <v>0.0</v>
      </c>
      <c r="T5" s="16">
        <v>0.0</v>
      </c>
      <c r="U5" s="16">
        <v>0.0</v>
      </c>
      <c r="V5" s="16">
        <v>1.0</v>
      </c>
      <c r="W5" s="16">
        <v>0.0</v>
      </c>
      <c r="X5" s="16">
        <v>1.0</v>
      </c>
      <c r="Y5" s="16">
        <v>0.0</v>
      </c>
      <c r="Z5" s="16">
        <v>1.0</v>
      </c>
      <c r="AA5" s="16">
        <v>1.0</v>
      </c>
      <c r="AB5" s="16">
        <v>0.0</v>
      </c>
      <c r="AC5" s="16">
        <v>0.0</v>
      </c>
      <c r="AD5" s="16">
        <v>0.0</v>
      </c>
      <c r="AE5" s="16">
        <v>0.0</v>
      </c>
      <c r="AF5" s="16">
        <v>1.0</v>
      </c>
      <c r="AG5" s="16">
        <v>0.0</v>
      </c>
      <c r="AH5" s="16">
        <v>3.0</v>
      </c>
      <c r="AI5" s="16">
        <v>1.0</v>
      </c>
      <c r="AJ5" s="16">
        <v>0.0</v>
      </c>
      <c r="AK5" s="16">
        <v>0.0</v>
      </c>
      <c r="AL5" s="16">
        <v>1.0</v>
      </c>
      <c r="AM5" s="16">
        <v>1.0</v>
      </c>
      <c r="AN5" s="16">
        <v>2.0</v>
      </c>
      <c r="AO5" s="16">
        <v>2.0</v>
      </c>
      <c r="AP5" s="16">
        <v>0.0</v>
      </c>
      <c r="AQ5" s="16">
        <v>0.0</v>
      </c>
      <c r="AR5" s="16">
        <v>0.0</v>
      </c>
      <c r="AS5" s="16">
        <v>0.0</v>
      </c>
      <c r="AT5" s="16">
        <v>0.0</v>
      </c>
      <c r="AU5" s="16">
        <v>0.0</v>
      </c>
      <c r="AV5" s="16">
        <v>1.0</v>
      </c>
      <c r="AW5" s="16">
        <v>0.0</v>
      </c>
      <c r="AX5" s="16">
        <v>3.0</v>
      </c>
      <c r="AY5" s="16">
        <v>0.0</v>
      </c>
      <c r="AZ5" s="16">
        <v>0.0</v>
      </c>
      <c r="BA5" s="16">
        <v>0.0</v>
      </c>
      <c r="BB5" s="16">
        <v>0.0</v>
      </c>
      <c r="BC5" s="16">
        <v>0.0</v>
      </c>
      <c r="BD5" s="16">
        <v>1.0</v>
      </c>
      <c r="BE5" s="16">
        <v>0.0</v>
      </c>
      <c r="BF5" s="16">
        <v>0.0</v>
      </c>
      <c r="BG5" s="16">
        <v>0.0</v>
      </c>
      <c r="BH5" s="16">
        <v>0.0</v>
      </c>
      <c r="BI5" s="16">
        <v>0.0</v>
      </c>
      <c r="BJ5" s="16">
        <v>0.0</v>
      </c>
      <c r="BK5" s="16">
        <v>0.0</v>
      </c>
      <c r="BL5" s="16">
        <v>1.0</v>
      </c>
      <c r="BM5" s="16">
        <v>1.0</v>
      </c>
      <c r="BN5" s="16">
        <v>1.0</v>
      </c>
      <c r="BO5" s="16">
        <v>1.0</v>
      </c>
      <c r="BP5" s="16">
        <v>1.0</v>
      </c>
      <c r="BQ5" s="16">
        <v>1.0</v>
      </c>
      <c r="BR5" s="16">
        <v>0.0</v>
      </c>
      <c r="BS5" s="16">
        <v>0.0</v>
      </c>
      <c r="BT5" s="16">
        <v>0.0</v>
      </c>
      <c r="BU5" s="16">
        <v>0.0</v>
      </c>
      <c r="BV5" s="16">
        <v>0.0</v>
      </c>
      <c r="BW5" s="16">
        <v>0.0</v>
      </c>
      <c r="BX5" s="16">
        <v>0.0</v>
      </c>
      <c r="BY5" s="16">
        <v>0.0</v>
      </c>
      <c r="BZ5" s="16">
        <v>0.0</v>
      </c>
      <c r="CA5" s="16">
        <v>0.0</v>
      </c>
      <c r="CB5" s="16">
        <v>0.0</v>
      </c>
      <c r="CC5" s="16">
        <v>0.0</v>
      </c>
      <c r="CD5" s="16">
        <v>0.0</v>
      </c>
      <c r="CE5" s="16">
        <v>0.0</v>
      </c>
      <c r="CF5" s="16">
        <v>0.0</v>
      </c>
      <c r="CG5" s="16">
        <v>0.0</v>
      </c>
      <c r="CH5" s="16">
        <v>0.0</v>
      </c>
      <c r="CI5" s="16">
        <v>0.0</v>
      </c>
      <c r="CJ5" s="16">
        <v>1.0</v>
      </c>
      <c r="CK5" s="16">
        <v>0.0</v>
      </c>
      <c r="CL5" s="16">
        <v>1.0</v>
      </c>
      <c r="CM5" s="16">
        <v>1.0</v>
      </c>
      <c r="CN5" s="16">
        <v>0.0</v>
      </c>
      <c r="CO5" s="16">
        <v>0.0</v>
      </c>
      <c r="CP5" s="16">
        <v>0.0</v>
      </c>
      <c r="CQ5" s="16">
        <v>0.0</v>
      </c>
      <c r="CR5" s="16">
        <v>0.0</v>
      </c>
      <c r="CS5" s="16">
        <v>0.0</v>
      </c>
      <c r="CT5" s="16">
        <v>0.0</v>
      </c>
      <c r="CU5" s="16">
        <v>0.0</v>
      </c>
      <c r="CV5" s="16">
        <v>1.0</v>
      </c>
      <c r="CW5" s="16">
        <v>0.0</v>
      </c>
      <c r="CX5" s="16">
        <v>0.0</v>
      </c>
      <c r="CY5" s="16">
        <v>0.0</v>
      </c>
      <c r="CZ5" s="16">
        <v>0.0</v>
      </c>
      <c r="DA5" s="16">
        <v>0.0</v>
      </c>
      <c r="DB5" s="16">
        <v>0.0</v>
      </c>
      <c r="DC5" s="16">
        <v>0.0</v>
      </c>
      <c r="DD5" s="16">
        <v>0.0</v>
      </c>
      <c r="DE5" s="16">
        <v>0.0</v>
      </c>
      <c r="DF5" s="16">
        <v>0.0</v>
      </c>
      <c r="DG5" s="16">
        <v>0.0</v>
      </c>
      <c r="DH5" s="16">
        <v>1.0</v>
      </c>
      <c r="DI5" s="16">
        <v>1.0</v>
      </c>
      <c r="DJ5" s="16">
        <v>0.0</v>
      </c>
      <c r="DK5" s="16">
        <v>0.0</v>
      </c>
      <c r="DL5" s="16">
        <v>0.0</v>
      </c>
      <c r="DM5" s="16">
        <v>0.0</v>
      </c>
      <c r="DN5" s="16">
        <v>0.0</v>
      </c>
      <c r="DO5" s="16">
        <v>0.0</v>
      </c>
      <c r="DP5" s="16">
        <v>0.0</v>
      </c>
      <c r="DQ5" s="16">
        <v>0.0</v>
      </c>
      <c r="DR5" s="16">
        <v>0.0</v>
      </c>
      <c r="DS5" s="16">
        <v>0.0</v>
      </c>
      <c r="DT5" s="16">
        <v>0.0</v>
      </c>
      <c r="DU5" s="16">
        <v>0.0</v>
      </c>
      <c r="DV5" s="16">
        <v>0.0</v>
      </c>
      <c r="DW5" s="16">
        <v>0.0</v>
      </c>
      <c r="DX5" s="16">
        <v>0.0</v>
      </c>
      <c r="DY5" s="16">
        <v>0.0</v>
      </c>
      <c r="DZ5" s="16">
        <v>0.0</v>
      </c>
      <c r="EA5" s="16">
        <v>0.0</v>
      </c>
      <c r="EB5" s="16">
        <v>0.0</v>
      </c>
      <c r="EC5" s="16">
        <v>0.0</v>
      </c>
      <c r="ED5" s="16">
        <v>0.0</v>
      </c>
      <c r="EE5" s="16">
        <v>0.0</v>
      </c>
      <c r="EF5" s="16">
        <v>0.0</v>
      </c>
      <c r="EG5" s="16">
        <v>0.0</v>
      </c>
      <c r="EH5" s="16">
        <v>0.0</v>
      </c>
      <c r="EI5" s="16">
        <v>0.0</v>
      </c>
      <c r="EJ5" s="16">
        <v>0.0</v>
      </c>
      <c r="EK5" s="16">
        <v>0.0</v>
      </c>
      <c r="EL5" s="16">
        <v>0.0</v>
      </c>
      <c r="EM5" s="16">
        <v>0.0</v>
      </c>
      <c r="EN5" s="16">
        <v>0.0</v>
      </c>
      <c r="EO5" s="16">
        <v>0.0</v>
      </c>
      <c r="EP5" s="16">
        <v>0.0</v>
      </c>
      <c r="EQ5" s="16">
        <v>0.0</v>
      </c>
      <c r="ER5" s="16">
        <v>0.0</v>
      </c>
      <c r="ES5" s="16">
        <v>0.0</v>
      </c>
      <c r="ET5" s="16">
        <v>0.0</v>
      </c>
      <c r="EU5" s="16">
        <v>0.0</v>
      </c>
      <c r="EV5" s="16">
        <v>0.0</v>
      </c>
      <c r="EW5" s="16">
        <v>0.0</v>
      </c>
      <c r="EX5" s="16">
        <v>0.0</v>
      </c>
      <c r="EY5" s="16">
        <v>0.0</v>
      </c>
      <c r="EZ5" s="16">
        <v>0.0</v>
      </c>
      <c r="FA5" s="16">
        <v>0.0</v>
      </c>
      <c r="FB5" s="16">
        <v>0.0</v>
      </c>
      <c r="FC5" s="16">
        <v>0.0</v>
      </c>
      <c r="FD5" s="16">
        <v>0.0</v>
      </c>
      <c r="FE5" s="16">
        <v>0.0</v>
      </c>
      <c r="FF5" s="16">
        <v>0.0</v>
      </c>
      <c r="FG5" s="16">
        <v>0.0</v>
      </c>
      <c r="FH5" s="16">
        <v>0.0</v>
      </c>
      <c r="FI5" s="16">
        <v>0.0</v>
      </c>
      <c r="FJ5" s="16">
        <v>0.0</v>
      </c>
      <c r="FK5" s="16">
        <v>0.0</v>
      </c>
      <c r="FL5" s="16">
        <v>0.0</v>
      </c>
      <c r="FM5" s="16">
        <v>0.0</v>
      </c>
      <c r="FN5" s="16">
        <v>0.0</v>
      </c>
      <c r="FO5" s="16">
        <v>0.0</v>
      </c>
      <c r="FP5" s="16">
        <v>0.0</v>
      </c>
      <c r="FQ5" s="16">
        <v>0.0</v>
      </c>
      <c r="FR5" s="16">
        <v>0.0</v>
      </c>
      <c r="FS5" s="16">
        <v>0.0</v>
      </c>
      <c r="FT5" s="16">
        <v>0.0</v>
      </c>
      <c r="FU5" s="16">
        <v>0.0</v>
      </c>
      <c r="FV5" s="16">
        <v>0.0</v>
      </c>
      <c r="FW5" s="16">
        <v>0.0</v>
      </c>
    </row>
    <row r="6">
      <c r="A6" s="15" t="s">
        <v>200</v>
      </c>
      <c r="B6" s="16">
        <v>0.0</v>
      </c>
      <c r="C6" s="16">
        <v>0.0</v>
      </c>
      <c r="D6" s="16">
        <v>1.0</v>
      </c>
      <c r="E6" s="16">
        <v>0.0</v>
      </c>
      <c r="F6" s="16">
        <v>0.0</v>
      </c>
      <c r="G6" s="16">
        <v>0.0</v>
      </c>
      <c r="H6" s="16">
        <v>0.0</v>
      </c>
      <c r="I6" s="16">
        <v>0.0</v>
      </c>
      <c r="J6" s="16">
        <v>0.0</v>
      </c>
      <c r="K6" s="16">
        <v>0.0</v>
      </c>
      <c r="L6" s="16">
        <v>2.0</v>
      </c>
      <c r="M6" s="16">
        <v>2.0</v>
      </c>
      <c r="N6" s="16">
        <v>1.0</v>
      </c>
      <c r="O6" s="16">
        <v>1.0</v>
      </c>
      <c r="P6" s="16">
        <v>0.0</v>
      </c>
      <c r="Q6" s="16">
        <v>0.0</v>
      </c>
      <c r="R6" s="16">
        <v>1.0</v>
      </c>
      <c r="S6" s="16">
        <v>0.0</v>
      </c>
      <c r="T6" s="16">
        <v>0.0</v>
      </c>
      <c r="U6" s="16">
        <v>0.0</v>
      </c>
      <c r="V6" s="16">
        <v>1.0</v>
      </c>
      <c r="W6" s="16">
        <v>1.0</v>
      </c>
      <c r="X6" s="16">
        <v>0.0</v>
      </c>
      <c r="Y6" s="16">
        <v>0.0</v>
      </c>
      <c r="Z6" s="16">
        <v>2.0</v>
      </c>
      <c r="AA6" s="16">
        <v>1.0</v>
      </c>
      <c r="AB6" s="16">
        <v>1.0</v>
      </c>
      <c r="AC6" s="16">
        <v>0.0</v>
      </c>
      <c r="AD6" s="16">
        <v>1.0</v>
      </c>
      <c r="AE6" s="16">
        <v>0.0</v>
      </c>
      <c r="AF6" s="16">
        <v>0.0</v>
      </c>
      <c r="AG6" s="16">
        <v>0.0</v>
      </c>
      <c r="AH6" s="16">
        <v>0.0</v>
      </c>
      <c r="AI6" s="16">
        <v>0.0</v>
      </c>
      <c r="AJ6" s="16">
        <v>1.0</v>
      </c>
      <c r="AK6" s="16">
        <v>1.0</v>
      </c>
      <c r="AL6" s="16">
        <v>0.0</v>
      </c>
      <c r="AM6" s="16">
        <v>0.0</v>
      </c>
      <c r="AN6" s="16">
        <v>1.0</v>
      </c>
      <c r="AO6" s="16">
        <v>1.0</v>
      </c>
      <c r="AP6" s="16">
        <v>1.0</v>
      </c>
      <c r="AQ6" s="16">
        <v>1.0</v>
      </c>
      <c r="AR6" s="16">
        <v>1.0</v>
      </c>
      <c r="AS6" s="16">
        <v>0.0</v>
      </c>
      <c r="AT6" s="16">
        <v>1.0</v>
      </c>
      <c r="AU6" s="16">
        <v>1.0</v>
      </c>
      <c r="AV6" s="16">
        <v>0.0</v>
      </c>
      <c r="AW6" s="16">
        <v>0.0</v>
      </c>
      <c r="AX6" s="16">
        <v>0.0</v>
      </c>
      <c r="AY6" s="16">
        <v>0.0</v>
      </c>
      <c r="AZ6" s="16">
        <v>0.0</v>
      </c>
      <c r="BA6" s="16">
        <v>0.0</v>
      </c>
      <c r="BB6" s="16">
        <v>0.0</v>
      </c>
      <c r="BC6" s="16">
        <v>0.0</v>
      </c>
      <c r="BD6" s="16">
        <v>0.0</v>
      </c>
      <c r="BE6" s="16">
        <v>0.0</v>
      </c>
      <c r="BF6" s="16">
        <v>0.0</v>
      </c>
      <c r="BG6" s="16">
        <v>0.0</v>
      </c>
      <c r="BH6" s="16">
        <v>0.0</v>
      </c>
      <c r="BI6" s="16">
        <v>0.0</v>
      </c>
      <c r="BJ6" s="16">
        <v>0.0</v>
      </c>
      <c r="BK6" s="16">
        <v>0.0</v>
      </c>
      <c r="BL6" s="16">
        <v>2.0</v>
      </c>
      <c r="BM6" s="16">
        <v>0.0</v>
      </c>
      <c r="BN6" s="16">
        <v>0.0</v>
      </c>
      <c r="BO6" s="16">
        <v>0.0</v>
      </c>
      <c r="BP6" s="16">
        <v>0.0</v>
      </c>
      <c r="BQ6" s="16">
        <v>0.0</v>
      </c>
      <c r="BR6" s="16">
        <v>0.0</v>
      </c>
      <c r="BS6" s="16">
        <v>0.0</v>
      </c>
      <c r="BT6" s="16">
        <v>0.0</v>
      </c>
      <c r="BU6" s="16">
        <v>0.0</v>
      </c>
      <c r="BV6" s="16">
        <v>0.0</v>
      </c>
      <c r="BW6" s="16">
        <v>0.0</v>
      </c>
      <c r="BX6" s="16">
        <v>0.0</v>
      </c>
      <c r="BY6" s="16">
        <v>0.0</v>
      </c>
      <c r="BZ6" s="16">
        <v>1.0</v>
      </c>
      <c r="CA6" s="16">
        <v>0.0</v>
      </c>
      <c r="CB6" s="16">
        <v>0.0</v>
      </c>
      <c r="CC6" s="16">
        <v>0.0</v>
      </c>
      <c r="CD6" s="16">
        <v>0.0</v>
      </c>
      <c r="CE6" s="16">
        <v>0.0</v>
      </c>
      <c r="CF6" s="16">
        <v>0.0</v>
      </c>
      <c r="CG6" s="16">
        <v>0.0</v>
      </c>
      <c r="CH6" s="16">
        <v>0.0</v>
      </c>
      <c r="CI6" s="16">
        <v>0.0</v>
      </c>
      <c r="CJ6" s="16">
        <v>0.0</v>
      </c>
      <c r="CK6" s="16">
        <v>0.0</v>
      </c>
      <c r="CL6" s="16">
        <v>1.0</v>
      </c>
      <c r="CM6" s="16">
        <v>1.0</v>
      </c>
      <c r="CN6" s="16">
        <v>2.0</v>
      </c>
      <c r="CO6" s="16">
        <v>0.0</v>
      </c>
      <c r="CP6" s="16">
        <v>3.0</v>
      </c>
      <c r="CQ6" s="16">
        <v>3.0</v>
      </c>
      <c r="CR6" s="16">
        <v>3.0</v>
      </c>
      <c r="CS6" s="16">
        <v>1.0</v>
      </c>
      <c r="CT6" s="16">
        <v>0.0</v>
      </c>
      <c r="CU6" s="16">
        <v>0.0</v>
      </c>
      <c r="CV6" s="16">
        <v>0.0</v>
      </c>
      <c r="CW6" s="16">
        <v>0.0</v>
      </c>
      <c r="CX6" s="16">
        <v>0.0</v>
      </c>
      <c r="CY6" s="16">
        <v>0.0</v>
      </c>
      <c r="CZ6" s="16">
        <v>0.0</v>
      </c>
      <c r="DA6" s="16">
        <v>0.0</v>
      </c>
      <c r="DB6" s="16">
        <v>0.0</v>
      </c>
      <c r="DC6" s="16">
        <v>0.0</v>
      </c>
      <c r="DD6" s="16">
        <v>0.0</v>
      </c>
      <c r="DE6" s="16">
        <v>0.0</v>
      </c>
      <c r="DF6" s="16">
        <v>0.0</v>
      </c>
      <c r="DG6" s="16">
        <v>0.0</v>
      </c>
      <c r="DH6" s="16">
        <v>0.0</v>
      </c>
      <c r="DI6" s="16">
        <v>0.0</v>
      </c>
      <c r="DJ6" s="16">
        <v>0.0</v>
      </c>
      <c r="DK6" s="16">
        <v>0.0</v>
      </c>
      <c r="DL6" s="16">
        <v>0.0</v>
      </c>
      <c r="DM6" s="16">
        <v>0.0</v>
      </c>
      <c r="DN6" s="16">
        <v>0.0</v>
      </c>
      <c r="DO6" s="16">
        <v>0.0</v>
      </c>
      <c r="DP6" s="16">
        <v>1.0</v>
      </c>
      <c r="DQ6" s="16">
        <v>1.0</v>
      </c>
      <c r="DR6" s="16">
        <v>0.0</v>
      </c>
      <c r="DS6" s="16">
        <v>0.0</v>
      </c>
      <c r="DT6" s="16">
        <v>0.0</v>
      </c>
      <c r="DU6" s="16">
        <v>0.0</v>
      </c>
      <c r="DV6" s="16">
        <v>0.0</v>
      </c>
      <c r="DW6" s="16">
        <v>0.0</v>
      </c>
      <c r="DX6" s="16">
        <v>0.0</v>
      </c>
      <c r="DY6" s="16">
        <v>0.0</v>
      </c>
      <c r="DZ6" s="16">
        <v>0.0</v>
      </c>
      <c r="EA6" s="16">
        <v>0.0</v>
      </c>
      <c r="EB6" s="16">
        <v>0.0</v>
      </c>
      <c r="EC6" s="16">
        <v>0.0</v>
      </c>
      <c r="ED6" s="16">
        <v>0.0</v>
      </c>
      <c r="EE6" s="16">
        <v>0.0</v>
      </c>
      <c r="EF6" s="16">
        <v>0.0</v>
      </c>
      <c r="EG6" s="16">
        <v>0.0</v>
      </c>
      <c r="EH6" s="16">
        <v>0.0</v>
      </c>
      <c r="EI6" s="16">
        <v>0.0</v>
      </c>
      <c r="EJ6" s="16">
        <v>1.0</v>
      </c>
      <c r="EK6" s="16">
        <v>1.0</v>
      </c>
      <c r="EL6" s="16">
        <v>1.0</v>
      </c>
      <c r="EM6" s="16">
        <v>1.0</v>
      </c>
      <c r="EN6" s="16">
        <v>1.0</v>
      </c>
      <c r="EO6" s="16">
        <v>0.0</v>
      </c>
      <c r="EP6" s="16">
        <v>1.0</v>
      </c>
      <c r="EQ6" s="16">
        <v>0.0</v>
      </c>
      <c r="ER6" s="16">
        <v>0.0</v>
      </c>
      <c r="ES6" s="16">
        <v>0.0</v>
      </c>
      <c r="ET6" s="16">
        <v>0.0</v>
      </c>
      <c r="EU6" s="16">
        <v>0.0</v>
      </c>
      <c r="EV6" s="16">
        <v>0.0</v>
      </c>
      <c r="EW6" s="16">
        <v>0.0</v>
      </c>
      <c r="EX6" s="16">
        <v>0.0</v>
      </c>
      <c r="EY6" s="16">
        <v>0.0</v>
      </c>
      <c r="EZ6" s="16">
        <v>0.0</v>
      </c>
      <c r="FA6" s="16">
        <v>0.0</v>
      </c>
      <c r="FB6" s="16">
        <v>0.0</v>
      </c>
      <c r="FC6" s="16">
        <v>0.0</v>
      </c>
      <c r="FD6" s="16">
        <v>0.0</v>
      </c>
      <c r="FE6" s="16">
        <v>0.0</v>
      </c>
      <c r="FF6" s="16">
        <v>0.0</v>
      </c>
      <c r="FG6" s="16">
        <v>0.0</v>
      </c>
      <c r="FH6" s="16">
        <v>0.0</v>
      </c>
      <c r="FI6" s="16">
        <v>0.0</v>
      </c>
      <c r="FJ6" s="16">
        <v>0.0</v>
      </c>
      <c r="FK6" s="16">
        <v>0.0</v>
      </c>
      <c r="FL6" s="16">
        <v>0.0</v>
      </c>
      <c r="FM6" s="16">
        <v>0.0</v>
      </c>
      <c r="FN6" s="16">
        <v>0.0</v>
      </c>
      <c r="FO6" s="16">
        <v>0.0</v>
      </c>
      <c r="FP6" s="16">
        <v>0.0</v>
      </c>
      <c r="FQ6" s="16">
        <v>0.0</v>
      </c>
      <c r="FR6" s="16">
        <v>0.0</v>
      </c>
      <c r="FS6" s="16">
        <v>0.0</v>
      </c>
      <c r="FT6" s="16">
        <v>0.0</v>
      </c>
      <c r="FU6" s="16">
        <v>0.0</v>
      </c>
      <c r="FV6" s="16">
        <v>0.0</v>
      </c>
      <c r="FW6" s="16">
        <v>0.0</v>
      </c>
    </row>
    <row r="7">
      <c r="A7" s="15" t="s">
        <v>201</v>
      </c>
      <c r="B7" s="16">
        <v>1.0</v>
      </c>
      <c r="C7" s="16">
        <v>0.0</v>
      </c>
      <c r="D7" s="16">
        <v>0.0</v>
      </c>
      <c r="E7" s="16">
        <v>0.0</v>
      </c>
      <c r="F7" s="16">
        <v>0.0</v>
      </c>
      <c r="G7" s="16">
        <v>0.0</v>
      </c>
      <c r="H7" s="16">
        <v>0.0</v>
      </c>
      <c r="I7" s="16">
        <v>0.0</v>
      </c>
      <c r="J7" s="16">
        <v>0.0</v>
      </c>
      <c r="K7" s="16">
        <v>0.0</v>
      </c>
      <c r="L7" s="16">
        <v>0.0</v>
      </c>
      <c r="M7" s="16">
        <v>0.0</v>
      </c>
      <c r="N7" s="16">
        <v>0.0</v>
      </c>
      <c r="O7" s="16">
        <v>0.0</v>
      </c>
      <c r="P7" s="16">
        <v>0.0</v>
      </c>
      <c r="Q7" s="16">
        <v>0.0</v>
      </c>
      <c r="R7" s="16">
        <v>1.0</v>
      </c>
      <c r="S7" s="16">
        <v>0.0</v>
      </c>
      <c r="T7" s="16">
        <v>0.0</v>
      </c>
      <c r="U7" s="16">
        <v>0.0</v>
      </c>
      <c r="V7" s="16">
        <v>0.0</v>
      </c>
      <c r="W7" s="16">
        <v>0.0</v>
      </c>
      <c r="X7" s="16">
        <v>1.0</v>
      </c>
      <c r="Y7" s="16">
        <v>0.0</v>
      </c>
      <c r="Z7" s="16">
        <v>1.0</v>
      </c>
      <c r="AA7" s="16">
        <v>0.0</v>
      </c>
      <c r="AB7" s="16">
        <v>2.0</v>
      </c>
      <c r="AC7" s="16">
        <v>1.0</v>
      </c>
      <c r="AD7" s="16">
        <v>0.0</v>
      </c>
      <c r="AE7" s="16">
        <v>0.0</v>
      </c>
      <c r="AF7" s="16">
        <v>0.0</v>
      </c>
      <c r="AG7" s="16">
        <v>0.0</v>
      </c>
      <c r="AH7" s="16">
        <v>0.0</v>
      </c>
      <c r="AI7" s="16">
        <v>0.0</v>
      </c>
      <c r="AJ7" s="16">
        <v>1.0</v>
      </c>
      <c r="AK7" s="16">
        <v>1.0</v>
      </c>
      <c r="AL7" s="16">
        <v>0.0</v>
      </c>
      <c r="AM7" s="16">
        <v>0.0</v>
      </c>
      <c r="AN7" s="16">
        <v>0.0</v>
      </c>
      <c r="AO7" s="16">
        <v>0.0</v>
      </c>
      <c r="AP7" s="16">
        <v>0.0</v>
      </c>
      <c r="AQ7" s="16">
        <v>0.0</v>
      </c>
      <c r="AR7" s="16">
        <v>0.0</v>
      </c>
      <c r="AS7" s="16">
        <v>0.0</v>
      </c>
      <c r="AT7" s="16">
        <v>0.0</v>
      </c>
      <c r="AU7" s="16">
        <v>0.0</v>
      </c>
      <c r="AV7" s="16">
        <v>4.0</v>
      </c>
      <c r="AW7" s="16">
        <v>2.0</v>
      </c>
      <c r="AX7" s="16">
        <v>1.0</v>
      </c>
      <c r="AY7" s="16">
        <v>0.0</v>
      </c>
      <c r="AZ7" s="16">
        <v>0.0</v>
      </c>
      <c r="BA7" s="16">
        <v>0.0</v>
      </c>
      <c r="BB7" s="16">
        <v>0.0</v>
      </c>
      <c r="BC7" s="16">
        <v>0.0</v>
      </c>
      <c r="BD7" s="16">
        <v>1.0</v>
      </c>
      <c r="BE7" s="16">
        <v>0.0</v>
      </c>
      <c r="BF7" s="16">
        <v>1.0</v>
      </c>
      <c r="BG7" s="16">
        <v>0.0</v>
      </c>
      <c r="BH7" s="16">
        <v>1.0</v>
      </c>
      <c r="BI7" s="16">
        <v>1.0</v>
      </c>
      <c r="BJ7" s="16">
        <v>0.0</v>
      </c>
      <c r="BK7" s="16">
        <v>0.0</v>
      </c>
      <c r="BL7" s="16">
        <v>0.0</v>
      </c>
      <c r="BM7" s="16">
        <v>0.0</v>
      </c>
      <c r="BN7" s="16">
        <v>0.0</v>
      </c>
      <c r="BO7" s="16">
        <v>0.0</v>
      </c>
      <c r="BP7" s="16">
        <v>0.0</v>
      </c>
      <c r="BQ7" s="16">
        <v>0.0</v>
      </c>
      <c r="BR7" s="16">
        <v>0.0</v>
      </c>
      <c r="BS7" s="16">
        <v>0.0</v>
      </c>
      <c r="BT7" s="16">
        <v>0.0</v>
      </c>
      <c r="BU7" s="16">
        <v>0.0</v>
      </c>
      <c r="BV7" s="16">
        <v>0.0</v>
      </c>
      <c r="BW7" s="16">
        <v>0.0</v>
      </c>
      <c r="BX7" s="16">
        <v>0.0</v>
      </c>
      <c r="BY7" s="16">
        <v>0.0</v>
      </c>
      <c r="BZ7" s="16">
        <v>0.0</v>
      </c>
      <c r="CA7" s="16">
        <v>0.0</v>
      </c>
      <c r="CB7" s="16">
        <v>0.0</v>
      </c>
      <c r="CC7" s="16">
        <v>0.0</v>
      </c>
      <c r="CD7" s="16">
        <v>0.0</v>
      </c>
      <c r="CE7" s="16">
        <v>0.0</v>
      </c>
      <c r="CF7" s="16">
        <v>0.0</v>
      </c>
      <c r="CG7" s="16">
        <v>0.0</v>
      </c>
      <c r="CH7" s="16">
        <v>0.0</v>
      </c>
      <c r="CI7" s="16">
        <v>0.0</v>
      </c>
      <c r="CJ7" s="16">
        <v>1.0</v>
      </c>
      <c r="CK7" s="16">
        <v>1.0</v>
      </c>
      <c r="CL7" s="16">
        <v>0.0</v>
      </c>
      <c r="CM7" s="16">
        <v>0.0</v>
      </c>
      <c r="CN7" s="16">
        <v>0.0</v>
      </c>
      <c r="CO7" s="16">
        <v>0.0</v>
      </c>
      <c r="CP7" s="16">
        <v>0.0</v>
      </c>
      <c r="CQ7" s="16">
        <v>0.0</v>
      </c>
      <c r="CR7" s="16">
        <v>0.0</v>
      </c>
      <c r="CS7" s="16">
        <v>0.0</v>
      </c>
      <c r="CT7" s="16">
        <v>0.0</v>
      </c>
      <c r="CU7" s="16">
        <v>0.0</v>
      </c>
      <c r="CV7" s="16">
        <v>0.0</v>
      </c>
      <c r="CW7" s="16">
        <v>0.0</v>
      </c>
      <c r="CX7" s="16">
        <v>0.0</v>
      </c>
      <c r="CY7" s="16">
        <v>0.0</v>
      </c>
      <c r="CZ7" s="16">
        <v>0.0</v>
      </c>
      <c r="DA7" s="16">
        <v>0.0</v>
      </c>
      <c r="DB7" s="16">
        <v>0.0</v>
      </c>
      <c r="DC7" s="16">
        <v>0.0</v>
      </c>
      <c r="DD7" s="16">
        <v>0.0</v>
      </c>
      <c r="DE7" s="16">
        <v>0.0</v>
      </c>
      <c r="DF7" s="16">
        <v>0.0</v>
      </c>
      <c r="DG7" s="16">
        <v>0.0</v>
      </c>
      <c r="DH7" s="16">
        <v>0.0</v>
      </c>
      <c r="DI7" s="16">
        <v>0.0</v>
      </c>
      <c r="DJ7" s="16">
        <v>0.0</v>
      </c>
      <c r="DK7" s="16">
        <v>0.0</v>
      </c>
      <c r="DL7" s="16">
        <v>0.0</v>
      </c>
      <c r="DM7" s="16">
        <v>0.0</v>
      </c>
      <c r="DN7" s="16">
        <v>0.0</v>
      </c>
      <c r="DO7" s="16">
        <v>0.0</v>
      </c>
      <c r="DP7" s="16">
        <v>0.0</v>
      </c>
      <c r="DQ7" s="16">
        <v>0.0</v>
      </c>
      <c r="DR7" s="16">
        <v>0.0</v>
      </c>
      <c r="DS7" s="16">
        <v>0.0</v>
      </c>
      <c r="DT7" s="16">
        <v>0.0</v>
      </c>
      <c r="DU7" s="16">
        <v>0.0</v>
      </c>
      <c r="DV7" s="16">
        <v>0.0</v>
      </c>
      <c r="DW7" s="16">
        <v>0.0</v>
      </c>
      <c r="DX7" s="16">
        <v>0.0</v>
      </c>
      <c r="DY7" s="16">
        <v>0.0</v>
      </c>
      <c r="DZ7" s="16">
        <v>0.0</v>
      </c>
      <c r="EA7" s="16">
        <v>0.0</v>
      </c>
      <c r="EB7" s="16">
        <v>0.0</v>
      </c>
      <c r="EC7" s="16">
        <v>0.0</v>
      </c>
      <c r="ED7" s="16">
        <v>0.0</v>
      </c>
      <c r="EE7" s="16">
        <v>0.0</v>
      </c>
      <c r="EF7" s="16">
        <v>0.0</v>
      </c>
      <c r="EG7" s="16">
        <v>0.0</v>
      </c>
      <c r="EH7" s="16">
        <v>0.0</v>
      </c>
      <c r="EI7" s="16">
        <v>0.0</v>
      </c>
      <c r="EJ7" s="16">
        <v>0.0</v>
      </c>
      <c r="EK7" s="16">
        <v>0.0</v>
      </c>
      <c r="EL7" s="16">
        <v>0.0</v>
      </c>
      <c r="EM7" s="16">
        <v>0.0</v>
      </c>
      <c r="EN7" s="16">
        <v>0.0</v>
      </c>
      <c r="EO7" s="16">
        <v>0.0</v>
      </c>
      <c r="EP7" s="16">
        <v>0.0</v>
      </c>
      <c r="EQ7" s="16">
        <v>0.0</v>
      </c>
      <c r="ER7" s="16">
        <v>0.0</v>
      </c>
      <c r="ES7" s="16">
        <v>0.0</v>
      </c>
      <c r="ET7" s="16">
        <v>0.0</v>
      </c>
      <c r="EU7" s="16">
        <v>0.0</v>
      </c>
      <c r="EV7" s="16">
        <v>0.0</v>
      </c>
      <c r="EW7" s="16">
        <v>0.0</v>
      </c>
      <c r="EX7" s="16">
        <v>0.0</v>
      </c>
      <c r="EY7" s="16">
        <v>0.0</v>
      </c>
      <c r="EZ7" s="16">
        <v>0.0</v>
      </c>
      <c r="FA7" s="16">
        <v>0.0</v>
      </c>
      <c r="FB7" s="16">
        <v>0.0</v>
      </c>
      <c r="FC7" s="16">
        <v>0.0</v>
      </c>
      <c r="FD7" s="16">
        <v>0.0</v>
      </c>
      <c r="FE7" s="16">
        <v>0.0</v>
      </c>
      <c r="FF7" s="16">
        <v>0.0</v>
      </c>
      <c r="FG7" s="16">
        <v>0.0</v>
      </c>
      <c r="FH7" s="16">
        <v>0.0</v>
      </c>
      <c r="FI7" s="16">
        <v>0.0</v>
      </c>
      <c r="FJ7" s="16">
        <v>0.0</v>
      </c>
      <c r="FK7" s="16">
        <v>0.0</v>
      </c>
      <c r="FL7" s="16">
        <v>0.0</v>
      </c>
      <c r="FM7" s="16">
        <v>0.0</v>
      </c>
      <c r="FN7" s="16">
        <v>0.0</v>
      </c>
      <c r="FO7" s="16">
        <v>0.0</v>
      </c>
      <c r="FP7" s="16">
        <v>0.0</v>
      </c>
      <c r="FQ7" s="16">
        <v>0.0</v>
      </c>
      <c r="FR7" s="16">
        <v>0.0</v>
      </c>
      <c r="FS7" s="16">
        <v>0.0</v>
      </c>
      <c r="FT7" s="16">
        <v>0.0</v>
      </c>
      <c r="FU7" s="16">
        <v>0.0</v>
      </c>
      <c r="FV7" s="16">
        <v>0.0</v>
      </c>
      <c r="FW7" s="16">
        <v>0.0</v>
      </c>
    </row>
    <row r="8">
      <c r="A8" s="15" t="s">
        <v>202</v>
      </c>
      <c r="B8" s="16">
        <v>0.0</v>
      </c>
      <c r="C8" s="16">
        <v>0.0</v>
      </c>
      <c r="D8" s="16">
        <v>0.0</v>
      </c>
      <c r="E8" s="16">
        <v>0.0</v>
      </c>
      <c r="F8" s="16">
        <v>1.0</v>
      </c>
      <c r="G8" s="16">
        <v>0.0</v>
      </c>
      <c r="H8" s="16">
        <v>0.0</v>
      </c>
      <c r="I8" s="16">
        <v>0.0</v>
      </c>
      <c r="J8" s="16">
        <v>1.0</v>
      </c>
      <c r="K8" s="16">
        <v>1.0</v>
      </c>
      <c r="L8" s="16">
        <v>2.0</v>
      </c>
      <c r="M8" s="16">
        <v>0.0</v>
      </c>
      <c r="N8" s="16">
        <v>0.0</v>
      </c>
      <c r="O8" s="16">
        <v>0.0</v>
      </c>
      <c r="P8" s="16">
        <v>0.0</v>
      </c>
      <c r="Q8" s="16">
        <v>0.0</v>
      </c>
      <c r="R8" s="16">
        <v>4.0</v>
      </c>
      <c r="S8" s="16">
        <v>0.0</v>
      </c>
      <c r="T8" s="16">
        <v>0.0</v>
      </c>
      <c r="U8" s="16">
        <v>0.0</v>
      </c>
      <c r="V8" s="16">
        <v>1.0</v>
      </c>
      <c r="W8" s="16">
        <v>1.0</v>
      </c>
      <c r="X8" s="16">
        <v>1.0</v>
      </c>
      <c r="Y8" s="16">
        <v>0.0</v>
      </c>
      <c r="Z8" s="16">
        <v>0.0</v>
      </c>
      <c r="AA8" s="16">
        <v>0.0</v>
      </c>
      <c r="AB8" s="16">
        <v>1.0</v>
      </c>
      <c r="AC8" s="16">
        <v>1.0</v>
      </c>
      <c r="AD8" s="16">
        <v>0.0</v>
      </c>
      <c r="AE8" s="16">
        <v>0.0</v>
      </c>
      <c r="AF8" s="16">
        <v>0.0</v>
      </c>
      <c r="AG8" s="16">
        <v>0.0</v>
      </c>
      <c r="AH8" s="16">
        <v>4.0</v>
      </c>
      <c r="AI8" s="16">
        <v>0.0</v>
      </c>
      <c r="AJ8" s="16">
        <v>0.0</v>
      </c>
      <c r="AK8" s="16">
        <v>0.0</v>
      </c>
      <c r="AL8" s="16">
        <v>0.0</v>
      </c>
      <c r="AM8" s="16">
        <v>0.0</v>
      </c>
      <c r="AN8" s="16">
        <v>0.0</v>
      </c>
      <c r="AO8" s="16">
        <v>0.0</v>
      </c>
      <c r="AP8" s="16">
        <v>0.0</v>
      </c>
      <c r="AQ8" s="16">
        <v>0.0</v>
      </c>
      <c r="AR8" s="16">
        <v>0.0</v>
      </c>
      <c r="AS8" s="16">
        <v>0.0</v>
      </c>
      <c r="AT8" s="16">
        <v>0.0</v>
      </c>
      <c r="AU8" s="16">
        <v>0.0</v>
      </c>
      <c r="AV8" s="16">
        <v>5.0</v>
      </c>
      <c r="AW8" s="16">
        <v>3.0</v>
      </c>
      <c r="AX8" s="16">
        <v>3.0</v>
      </c>
      <c r="AY8" s="16">
        <v>1.0</v>
      </c>
      <c r="AZ8" s="16">
        <v>2.0</v>
      </c>
      <c r="BA8" s="16">
        <v>1.0</v>
      </c>
      <c r="BB8" s="16">
        <v>1.0</v>
      </c>
      <c r="BC8" s="16">
        <v>1.0</v>
      </c>
      <c r="BD8" s="16">
        <v>0.0</v>
      </c>
      <c r="BE8" s="16">
        <v>0.0</v>
      </c>
      <c r="BF8" s="16">
        <v>0.0</v>
      </c>
      <c r="BG8" s="16">
        <v>0.0</v>
      </c>
      <c r="BH8" s="16">
        <v>0.0</v>
      </c>
      <c r="BI8" s="16">
        <v>0.0</v>
      </c>
      <c r="BJ8" s="16">
        <v>0.0</v>
      </c>
      <c r="BK8" s="16">
        <v>0.0</v>
      </c>
      <c r="BL8" s="16">
        <v>1.0</v>
      </c>
      <c r="BM8" s="16">
        <v>0.0</v>
      </c>
      <c r="BN8" s="16">
        <v>1.0</v>
      </c>
      <c r="BO8" s="16">
        <v>1.0</v>
      </c>
      <c r="BP8" s="16">
        <v>0.0</v>
      </c>
      <c r="BQ8" s="16">
        <v>0.0</v>
      </c>
      <c r="BR8" s="16">
        <v>0.0</v>
      </c>
      <c r="BS8" s="16">
        <v>0.0</v>
      </c>
      <c r="BT8" s="16">
        <v>0.0</v>
      </c>
      <c r="BU8" s="16">
        <v>0.0</v>
      </c>
      <c r="BV8" s="16">
        <v>0.0</v>
      </c>
      <c r="BW8" s="16">
        <v>0.0</v>
      </c>
      <c r="BX8" s="16">
        <v>0.0</v>
      </c>
      <c r="BY8" s="16">
        <v>0.0</v>
      </c>
      <c r="BZ8" s="16">
        <v>0.0</v>
      </c>
      <c r="CA8" s="16">
        <v>0.0</v>
      </c>
      <c r="CB8" s="16">
        <v>0.0</v>
      </c>
      <c r="CC8" s="16">
        <v>0.0</v>
      </c>
      <c r="CD8" s="16">
        <v>0.0</v>
      </c>
      <c r="CE8" s="16">
        <v>0.0</v>
      </c>
      <c r="CF8" s="16">
        <v>0.0</v>
      </c>
      <c r="CG8" s="16">
        <v>0.0</v>
      </c>
      <c r="CH8" s="16">
        <v>0.0</v>
      </c>
      <c r="CI8" s="16">
        <v>0.0</v>
      </c>
      <c r="CJ8" s="16">
        <v>0.0</v>
      </c>
      <c r="CK8" s="16">
        <v>0.0</v>
      </c>
      <c r="CL8" s="16">
        <v>0.0</v>
      </c>
      <c r="CM8" s="16">
        <v>0.0</v>
      </c>
      <c r="CN8" s="16">
        <v>0.0</v>
      </c>
      <c r="CO8" s="16">
        <v>0.0</v>
      </c>
      <c r="CP8" s="16">
        <v>0.0</v>
      </c>
      <c r="CQ8" s="16">
        <v>0.0</v>
      </c>
      <c r="CR8" s="16">
        <v>0.0</v>
      </c>
      <c r="CS8" s="16">
        <v>0.0</v>
      </c>
      <c r="CT8" s="16">
        <v>0.0</v>
      </c>
      <c r="CU8" s="16">
        <v>0.0</v>
      </c>
      <c r="CV8" s="16">
        <v>1.0</v>
      </c>
      <c r="CW8" s="16">
        <v>0.0</v>
      </c>
      <c r="CX8" s="16">
        <v>0.0</v>
      </c>
      <c r="CY8" s="16">
        <v>0.0</v>
      </c>
      <c r="CZ8" s="16">
        <v>1.0</v>
      </c>
      <c r="DA8" s="16">
        <v>0.0</v>
      </c>
      <c r="DB8" s="16">
        <v>0.0</v>
      </c>
      <c r="DC8" s="16">
        <v>0.0</v>
      </c>
      <c r="DD8" s="16">
        <v>0.0</v>
      </c>
      <c r="DE8" s="16">
        <v>0.0</v>
      </c>
      <c r="DF8" s="16">
        <v>0.0</v>
      </c>
      <c r="DG8" s="16">
        <v>0.0</v>
      </c>
      <c r="DH8" s="16">
        <v>0.0</v>
      </c>
      <c r="DI8" s="16">
        <v>0.0</v>
      </c>
      <c r="DJ8" s="16">
        <v>0.0</v>
      </c>
      <c r="DK8" s="16">
        <v>0.0</v>
      </c>
      <c r="DL8" s="16">
        <v>0.0</v>
      </c>
      <c r="DM8" s="16">
        <v>0.0</v>
      </c>
      <c r="DN8" s="16">
        <v>0.0</v>
      </c>
      <c r="DO8" s="16">
        <v>0.0</v>
      </c>
      <c r="DP8" s="16">
        <v>0.0</v>
      </c>
      <c r="DQ8" s="16">
        <v>0.0</v>
      </c>
      <c r="DR8" s="16">
        <v>0.0</v>
      </c>
      <c r="DS8" s="16">
        <v>0.0</v>
      </c>
      <c r="DT8" s="16">
        <v>0.0</v>
      </c>
      <c r="DU8" s="16">
        <v>0.0</v>
      </c>
      <c r="DV8" s="16">
        <v>0.0</v>
      </c>
      <c r="DW8" s="16">
        <v>0.0</v>
      </c>
      <c r="DX8" s="16">
        <v>0.0</v>
      </c>
      <c r="DY8" s="16">
        <v>0.0</v>
      </c>
      <c r="DZ8" s="16">
        <v>0.0</v>
      </c>
      <c r="EA8" s="16">
        <v>0.0</v>
      </c>
      <c r="EB8" s="16">
        <v>0.0</v>
      </c>
      <c r="EC8" s="16">
        <v>0.0</v>
      </c>
      <c r="ED8" s="16">
        <v>0.0</v>
      </c>
      <c r="EE8" s="16">
        <v>0.0</v>
      </c>
      <c r="EF8" s="16">
        <v>0.0</v>
      </c>
      <c r="EG8" s="16">
        <v>0.0</v>
      </c>
      <c r="EH8" s="16">
        <v>0.0</v>
      </c>
      <c r="EI8" s="16">
        <v>0.0</v>
      </c>
      <c r="EJ8" s="16">
        <v>0.0</v>
      </c>
      <c r="EK8" s="16">
        <v>0.0</v>
      </c>
      <c r="EL8" s="16">
        <v>0.0</v>
      </c>
      <c r="EM8" s="16">
        <v>0.0</v>
      </c>
      <c r="EN8" s="16">
        <v>0.0</v>
      </c>
      <c r="EO8" s="16">
        <v>0.0</v>
      </c>
      <c r="EP8" s="16">
        <v>0.0</v>
      </c>
      <c r="EQ8" s="16">
        <v>0.0</v>
      </c>
      <c r="ER8" s="16">
        <v>0.0</v>
      </c>
      <c r="ES8" s="16">
        <v>0.0</v>
      </c>
      <c r="ET8" s="16">
        <v>0.0</v>
      </c>
      <c r="EU8" s="16">
        <v>0.0</v>
      </c>
      <c r="EV8" s="16">
        <v>0.0</v>
      </c>
      <c r="EW8" s="16">
        <v>0.0</v>
      </c>
      <c r="EX8" s="16">
        <v>0.0</v>
      </c>
      <c r="EY8" s="16">
        <v>0.0</v>
      </c>
      <c r="EZ8" s="16">
        <v>0.0</v>
      </c>
      <c r="FA8" s="16">
        <v>0.0</v>
      </c>
      <c r="FB8" s="16">
        <v>0.0</v>
      </c>
      <c r="FC8" s="16">
        <v>0.0</v>
      </c>
      <c r="FD8" s="16">
        <v>0.0</v>
      </c>
      <c r="FE8" s="16">
        <v>0.0</v>
      </c>
      <c r="FF8" s="16">
        <v>0.0</v>
      </c>
      <c r="FG8" s="16">
        <v>0.0</v>
      </c>
      <c r="FH8" s="16">
        <v>0.0</v>
      </c>
      <c r="FI8" s="16">
        <v>0.0</v>
      </c>
      <c r="FJ8" s="16">
        <v>0.0</v>
      </c>
      <c r="FK8" s="16">
        <v>0.0</v>
      </c>
      <c r="FL8" s="16">
        <v>0.0</v>
      </c>
      <c r="FM8" s="16">
        <v>0.0</v>
      </c>
      <c r="FN8" s="16">
        <v>0.0</v>
      </c>
      <c r="FO8" s="16">
        <v>0.0</v>
      </c>
      <c r="FP8" s="16">
        <v>0.0</v>
      </c>
      <c r="FQ8" s="16">
        <v>0.0</v>
      </c>
      <c r="FR8" s="16">
        <v>0.0</v>
      </c>
      <c r="FS8" s="16">
        <v>0.0</v>
      </c>
      <c r="FT8" s="16">
        <v>0.0</v>
      </c>
      <c r="FU8" s="16">
        <v>0.0</v>
      </c>
      <c r="FV8" s="16">
        <v>0.0</v>
      </c>
      <c r="FW8" s="16">
        <v>0.0</v>
      </c>
    </row>
    <row r="9">
      <c r="A9" s="15" t="s">
        <v>203</v>
      </c>
      <c r="B9" s="16">
        <v>0.0</v>
      </c>
      <c r="C9" s="16">
        <v>0.0</v>
      </c>
      <c r="D9" s="16">
        <v>1.0</v>
      </c>
      <c r="E9" s="16">
        <v>0.0</v>
      </c>
      <c r="F9" s="16">
        <v>0.0</v>
      </c>
      <c r="G9" s="16">
        <v>0.0</v>
      </c>
      <c r="H9" s="16">
        <v>0.0</v>
      </c>
      <c r="I9" s="16">
        <v>0.0</v>
      </c>
      <c r="J9" s="16">
        <v>0.0</v>
      </c>
      <c r="K9" s="16">
        <v>0.0</v>
      </c>
      <c r="L9" s="16">
        <v>1.0</v>
      </c>
      <c r="M9" s="16">
        <v>0.0</v>
      </c>
      <c r="N9" s="16">
        <v>1.0</v>
      </c>
      <c r="O9" s="16">
        <v>0.0</v>
      </c>
      <c r="P9" s="16">
        <v>0.0</v>
      </c>
      <c r="Q9" s="16">
        <v>0.0</v>
      </c>
      <c r="R9" s="16">
        <v>2.0</v>
      </c>
      <c r="S9" s="16">
        <v>0.0</v>
      </c>
      <c r="T9" s="16">
        <v>0.0</v>
      </c>
      <c r="U9" s="16">
        <v>0.0</v>
      </c>
      <c r="V9" s="16">
        <v>0.0</v>
      </c>
      <c r="W9" s="16">
        <v>0.0</v>
      </c>
      <c r="X9" s="16">
        <v>1.0</v>
      </c>
      <c r="Y9" s="16">
        <v>1.0</v>
      </c>
      <c r="Z9" s="16">
        <v>0.0</v>
      </c>
      <c r="AA9" s="16">
        <v>0.0</v>
      </c>
      <c r="AB9" s="16">
        <v>1.0</v>
      </c>
      <c r="AC9" s="16">
        <v>0.0</v>
      </c>
      <c r="AD9" s="16">
        <v>0.0</v>
      </c>
      <c r="AE9" s="16">
        <v>0.0</v>
      </c>
      <c r="AF9" s="16">
        <v>1.0</v>
      </c>
      <c r="AG9" s="16">
        <v>0.0</v>
      </c>
      <c r="AH9" s="16">
        <v>0.0</v>
      </c>
      <c r="AI9" s="16">
        <v>0.0</v>
      </c>
      <c r="AJ9" s="16">
        <v>0.0</v>
      </c>
      <c r="AK9" s="16">
        <v>0.0</v>
      </c>
      <c r="AL9" s="16">
        <v>1.0</v>
      </c>
      <c r="AM9" s="16">
        <v>1.0</v>
      </c>
      <c r="AN9" s="16">
        <v>1.0</v>
      </c>
      <c r="AO9" s="16">
        <v>1.0</v>
      </c>
      <c r="AP9" s="16">
        <v>0.0</v>
      </c>
      <c r="AQ9" s="16">
        <v>0.0</v>
      </c>
      <c r="AR9" s="16">
        <v>0.0</v>
      </c>
      <c r="AS9" s="16">
        <v>0.0</v>
      </c>
      <c r="AT9" s="16">
        <v>0.0</v>
      </c>
      <c r="AU9" s="16">
        <v>0.0</v>
      </c>
      <c r="AV9" s="16">
        <v>4.0</v>
      </c>
      <c r="AW9" s="16">
        <v>1.0</v>
      </c>
      <c r="AX9" s="16">
        <v>1.0</v>
      </c>
      <c r="AY9" s="16">
        <v>0.0</v>
      </c>
      <c r="AZ9" s="16">
        <v>1.0</v>
      </c>
      <c r="BA9" s="16">
        <v>0.0</v>
      </c>
      <c r="BB9" s="16">
        <v>1.0</v>
      </c>
      <c r="BC9" s="16">
        <v>1.0</v>
      </c>
      <c r="BD9" s="16">
        <v>1.0</v>
      </c>
      <c r="BE9" s="16">
        <v>0.0</v>
      </c>
      <c r="BF9" s="16">
        <v>0.0</v>
      </c>
      <c r="BG9" s="16">
        <v>0.0</v>
      </c>
      <c r="BH9" s="16">
        <v>0.0</v>
      </c>
      <c r="BI9" s="16">
        <v>0.0</v>
      </c>
      <c r="BJ9" s="16">
        <v>1.0</v>
      </c>
      <c r="BK9" s="16">
        <v>1.0</v>
      </c>
      <c r="BL9" s="16">
        <v>3.0</v>
      </c>
      <c r="BM9" s="16">
        <v>1.0</v>
      </c>
      <c r="BN9" s="16">
        <v>0.0</v>
      </c>
      <c r="BO9" s="16">
        <v>0.0</v>
      </c>
      <c r="BP9" s="16">
        <v>0.0</v>
      </c>
      <c r="BQ9" s="16">
        <v>0.0</v>
      </c>
      <c r="BR9" s="16">
        <v>0.0</v>
      </c>
      <c r="BS9" s="16">
        <v>0.0</v>
      </c>
      <c r="BT9" s="16">
        <v>0.0</v>
      </c>
      <c r="BU9" s="16">
        <v>0.0</v>
      </c>
      <c r="BV9" s="16">
        <v>0.0</v>
      </c>
      <c r="BW9" s="16">
        <v>0.0</v>
      </c>
      <c r="BX9" s="16">
        <v>0.0</v>
      </c>
      <c r="BY9" s="16">
        <v>0.0</v>
      </c>
      <c r="BZ9" s="16">
        <v>0.0</v>
      </c>
      <c r="CA9" s="16">
        <v>0.0</v>
      </c>
      <c r="CB9" s="16">
        <v>0.0</v>
      </c>
      <c r="CC9" s="16">
        <v>0.0</v>
      </c>
      <c r="CD9" s="16">
        <v>0.0</v>
      </c>
      <c r="CE9" s="16">
        <v>0.0</v>
      </c>
      <c r="CF9" s="16">
        <v>0.0</v>
      </c>
      <c r="CG9" s="16">
        <v>0.0</v>
      </c>
      <c r="CH9" s="16">
        <v>0.0</v>
      </c>
      <c r="CI9" s="16">
        <v>0.0</v>
      </c>
      <c r="CJ9" s="16">
        <v>1.0</v>
      </c>
      <c r="CK9" s="16">
        <v>1.0</v>
      </c>
      <c r="CL9" s="16">
        <v>0.0</v>
      </c>
      <c r="CM9" s="16">
        <v>0.0</v>
      </c>
      <c r="CN9" s="16">
        <v>0.0</v>
      </c>
      <c r="CO9" s="16">
        <v>0.0</v>
      </c>
      <c r="CP9" s="16">
        <v>0.0</v>
      </c>
      <c r="CQ9" s="16">
        <v>0.0</v>
      </c>
      <c r="CR9" s="16">
        <v>0.0</v>
      </c>
      <c r="CS9" s="16">
        <v>0.0</v>
      </c>
      <c r="CT9" s="16">
        <v>0.0</v>
      </c>
      <c r="CU9" s="16">
        <v>0.0</v>
      </c>
      <c r="CV9" s="16">
        <v>0.0</v>
      </c>
      <c r="CW9" s="16">
        <v>0.0</v>
      </c>
      <c r="CX9" s="16">
        <v>0.0</v>
      </c>
      <c r="CY9" s="16">
        <v>0.0</v>
      </c>
      <c r="CZ9" s="16">
        <v>0.0</v>
      </c>
      <c r="DA9" s="16">
        <v>0.0</v>
      </c>
      <c r="DB9" s="16">
        <v>0.0</v>
      </c>
      <c r="DC9" s="16">
        <v>0.0</v>
      </c>
      <c r="DD9" s="16">
        <v>0.0</v>
      </c>
      <c r="DE9" s="16">
        <v>0.0</v>
      </c>
      <c r="DF9" s="16">
        <v>0.0</v>
      </c>
      <c r="DG9" s="16">
        <v>0.0</v>
      </c>
      <c r="DH9" s="16">
        <v>0.0</v>
      </c>
      <c r="DI9" s="16">
        <v>0.0</v>
      </c>
      <c r="DJ9" s="16">
        <v>0.0</v>
      </c>
      <c r="DK9" s="16">
        <v>0.0</v>
      </c>
      <c r="DL9" s="16">
        <v>0.0</v>
      </c>
      <c r="DM9" s="16">
        <v>0.0</v>
      </c>
      <c r="DN9" s="16">
        <v>0.0</v>
      </c>
      <c r="DO9" s="16">
        <v>0.0</v>
      </c>
      <c r="DP9" s="16">
        <v>0.0</v>
      </c>
      <c r="DQ9" s="16">
        <v>0.0</v>
      </c>
      <c r="DR9" s="16">
        <v>0.0</v>
      </c>
      <c r="DS9" s="16">
        <v>0.0</v>
      </c>
      <c r="DT9" s="16">
        <v>0.0</v>
      </c>
      <c r="DU9" s="16">
        <v>0.0</v>
      </c>
      <c r="DV9" s="16">
        <v>0.0</v>
      </c>
      <c r="DW9" s="16">
        <v>0.0</v>
      </c>
      <c r="DX9" s="16">
        <v>0.0</v>
      </c>
      <c r="DY9" s="16">
        <v>0.0</v>
      </c>
      <c r="DZ9" s="16">
        <v>0.0</v>
      </c>
      <c r="EA9" s="16">
        <v>0.0</v>
      </c>
      <c r="EB9" s="16">
        <v>0.0</v>
      </c>
      <c r="EC9" s="16">
        <v>0.0</v>
      </c>
      <c r="ED9" s="16">
        <v>0.0</v>
      </c>
      <c r="EE9" s="16">
        <v>0.0</v>
      </c>
      <c r="EF9" s="16">
        <v>0.0</v>
      </c>
      <c r="EG9" s="16">
        <v>0.0</v>
      </c>
      <c r="EH9" s="16">
        <v>0.0</v>
      </c>
      <c r="EI9" s="16">
        <v>0.0</v>
      </c>
      <c r="EJ9" s="16">
        <v>0.0</v>
      </c>
      <c r="EK9" s="16">
        <v>0.0</v>
      </c>
      <c r="EL9" s="16">
        <v>0.0</v>
      </c>
      <c r="EM9" s="16">
        <v>0.0</v>
      </c>
      <c r="EN9" s="16">
        <v>0.0</v>
      </c>
      <c r="EO9" s="16">
        <v>0.0</v>
      </c>
      <c r="EP9" s="16">
        <v>0.0</v>
      </c>
      <c r="EQ9" s="16">
        <v>0.0</v>
      </c>
      <c r="ER9" s="16">
        <v>0.0</v>
      </c>
      <c r="ES9" s="16">
        <v>0.0</v>
      </c>
      <c r="ET9" s="16">
        <v>0.0</v>
      </c>
      <c r="EU9" s="16">
        <v>0.0</v>
      </c>
      <c r="EV9" s="16">
        <v>0.0</v>
      </c>
      <c r="EW9" s="16">
        <v>0.0</v>
      </c>
      <c r="EX9" s="16">
        <v>0.0</v>
      </c>
      <c r="EY9" s="16">
        <v>0.0</v>
      </c>
      <c r="EZ9" s="16">
        <v>0.0</v>
      </c>
      <c r="FA9" s="16">
        <v>0.0</v>
      </c>
      <c r="FB9" s="16">
        <v>0.0</v>
      </c>
      <c r="FC9" s="16">
        <v>0.0</v>
      </c>
      <c r="FD9" s="16">
        <v>0.0</v>
      </c>
      <c r="FE9" s="16">
        <v>0.0</v>
      </c>
      <c r="FF9" s="16">
        <v>0.0</v>
      </c>
      <c r="FG9" s="16">
        <v>0.0</v>
      </c>
      <c r="FH9" s="16">
        <v>0.0</v>
      </c>
      <c r="FI9" s="16">
        <v>0.0</v>
      </c>
      <c r="FJ9" s="16">
        <v>1.0</v>
      </c>
      <c r="FK9" s="16">
        <v>1.0</v>
      </c>
      <c r="FL9" s="16">
        <v>0.0</v>
      </c>
      <c r="FM9" s="16">
        <v>0.0</v>
      </c>
      <c r="FN9" s="16">
        <v>0.0</v>
      </c>
      <c r="FO9" s="16">
        <v>0.0</v>
      </c>
      <c r="FP9" s="16">
        <v>1.0</v>
      </c>
      <c r="FQ9" s="16">
        <v>1.0</v>
      </c>
      <c r="FR9" s="16">
        <v>0.0</v>
      </c>
      <c r="FS9" s="16">
        <v>0.0</v>
      </c>
      <c r="FT9" s="16">
        <v>0.0</v>
      </c>
      <c r="FU9" s="16">
        <v>0.0</v>
      </c>
      <c r="FV9" s="16">
        <v>0.0</v>
      </c>
      <c r="FW9" s="16">
        <v>0.0</v>
      </c>
    </row>
    <row r="10">
      <c r="A10" s="15" t="s">
        <v>204</v>
      </c>
      <c r="B10" s="16">
        <v>0.0</v>
      </c>
      <c r="C10" s="16">
        <v>0.0</v>
      </c>
      <c r="D10" s="16">
        <v>1.0</v>
      </c>
      <c r="E10" s="16">
        <v>0.0</v>
      </c>
      <c r="F10" s="16">
        <v>0.0</v>
      </c>
      <c r="G10" s="16">
        <v>0.0</v>
      </c>
      <c r="H10" s="16">
        <v>1.0</v>
      </c>
      <c r="I10" s="16">
        <v>1.0</v>
      </c>
      <c r="J10" s="16">
        <v>0.0</v>
      </c>
      <c r="K10" s="16">
        <v>0.0</v>
      </c>
      <c r="L10" s="16">
        <v>2.0</v>
      </c>
      <c r="M10" s="16">
        <v>1.0</v>
      </c>
      <c r="N10" s="16">
        <v>0.0</v>
      </c>
      <c r="O10" s="16">
        <v>0.0</v>
      </c>
      <c r="P10" s="16">
        <v>0.0</v>
      </c>
      <c r="Q10" s="16">
        <v>0.0</v>
      </c>
      <c r="R10" s="16">
        <v>0.0</v>
      </c>
      <c r="S10" s="16">
        <v>0.0</v>
      </c>
      <c r="T10" s="16">
        <v>0.0</v>
      </c>
      <c r="U10" s="16">
        <v>0.0</v>
      </c>
      <c r="V10" s="16">
        <v>0.0</v>
      </c>
      <c r="W10" s="16">
        <v>0.0</v>
      </c>
      <c r="X10" s="16">
        <v>3.0</v>
      </c>
      <c r="Y10" s="16">
        <v>1.0</v>
      </c>
      <c r="Z10" s="16">
        <v>0.0</v>
      </c>
      <c r="AA10" s="16">
        <v>0.0</v>
      </c>
      <c r="AB10" s="16">
        <v>0.0</v>
      </c>
      <c r="AC10" s="16">
        <v>0.0</v>
      </c>
      <c r="AD10" s="16">
        <v>0.0</v>
      </c>
      <c r="AE10" s="16">
        <v>0.0</v>
      </c>
      <c r="AF10" s="16">
        <v>0.0</v>
      </c>
      <c r="AG10" s="16">
        <v>0.0</v>
      </c>
      <c r="AH10" s="16">
        <v>1.0</v>
      </c>
      <c r="AI10" s="16">
        <v>1.0</v>
      </c>
      <c r="AJ10" s="16">
        <v>0.0</v>
      </c>
      <c r="AK10" s="16">
        <v>0.0</v>
      </c>
      <c r="AL10" s="16">
        <v>0.0</v>
      </c>
      <c r="AM10" s="16">
        <v>0.0</v>
      </c>
      <c r="AN10" s="16">
        <v>0.0</v>
      </c>
      <c r="AO10" s="16">
        <v>0.0</v>
      </c>
      <c r="AP10" s="16">
        <v>0.0</v>
      </c>
      <c r="AQ10" s="16">
        <v>0.0</v>
      </c>
      <c r="AR10" s="16">
        <v>0.0</v>
      </c>
      <c r="AS10" s="16">
        <v>0.0</v>
      </c>
      <c r="AT10" s="16">
        <v>0.0</v>
      </c>
      <c r="AU10" s="16">
        <v>0.0</v>
      </c>
      <c r="AV10" s="16">
        <v>0.0</v>
      </c>
      <c r="AW10" s="16">
        <v>0.0</v>
      </c>
      <c r="AX10" s="16">
        <v>0.0</v>
      </c>
      <c r="AY10" s="16">
        <v>0.0</v>
      </c>
      <c r="AZ10" s="16">
        <v>1.0</v>
      </c>
      <c r="BA10" s="16">
        <v>1.0</v>
      </c>
      <c r="BB10" s="16">
        <v>0.0</v>
      </c>
      <c r="BC10" s="16">
        <v>0.0</v>
      </c>
      <c r="BD10" s="16">
        <v>0.0</v>
      </c>
      <c r="BE10" s="16">
        <v>0.0</v>
      </c>
      <c r="BF10" s="16">
        <v>0.0</v>
      </c>
      <c r="BG10" s="16">
        <v>0.0</v>
      </c>
      <c r="BH10" s="16">
        <v>0.0</v>
      </c>
      <c r="BI10" s="16">
        <v>0.0</v>
      </c>
      <c r="BJ10" s="16">
        <v>0.0</v>
      </c>
      <c r="BK10" s="16">
        <v>0.0</v>
      </c>
      <c r="BL10" s="16">
        <v>1.0</v>
      </c>
      <c r="BM10" s="16">
        <v>1.0</v>
      </c>
      <c r="BN10" s="16">
        <v>0.0</v>
      </c>
      <c r="BO10" s="16">
        <v>0.0</v>
      </c>
      <c r="BP10" s="16">
        <v>0.0</v>
      </c>
      <c r="BQ10" s="16">
        <v>0.0</v>
      </c>
      <c r="BR10" s="16">
        <v>1.0</v>
      </c>
      <c r="BS10" s="16">
        <v>1.0</v>
      </c>
      <c r="BT10" s="16">
        <v>0.0</v>
      </c>
      <c r="BU10" s="16">
        <v>0.0</v>
      </c>
      <c r="BV10" s="16">
        <v>0.0</v>
      </c>
      <c r="BW10" s="16">
        <v>0.0</v>
      </c>
      <c r="BX10" s="16">
        <v>0.0</v>
      </c>
      <c r="BY10" s="16">
        <v>0.0</v>
      </c>
      <c r="BZ10" s="16">
        <v>0.0</v>
      </c>
      <c r="CA10" s="16">
        <v>0.0</v>
      </c>
      <c r="CB10" s="16">
        <v>0.0</v>
      </c>
      <c r="CC10" s="16">
        <v>0.0</v>
      </c>
      <c r="CD10" s="16">
        <v>0.0</v>
      </c>
      <c r="CE10" s="16">
        <v>0.0</v>
      </c>
      <c r="CF10" s="16">
        <v>0.0</v>
      </c>
      <c r="CG10" s="16">
        <v>0.0</v>
      </c>
      <c r="CH10" s="16">
        <v>0.0</v>
      </c>
      <c r="CI10" s="16">
        <v>0.0</v>
      </c>
      <c r="CJ10" s="16">
        <v>0.0</v>
      </c>
      <c r="CK10" s="16">
        <v>0.0</v>
      </c>
      <c r="CL10" s="16">
        <v>0.0</v>
      </c>
      <c r="CM10" s="16">
        <v>0.0</v>
      </c>
      <c r="CN10" s="16">
        <v>0.0</v>
      </c>
      <c r="CO10" s="16">
        <v>0.0</v>
      </c>
      <c r="CP10" s="16">
        <v>0.0</v>
      </c>
      <c r="CQ10" s="16">
        <v>0.0</v>
      </c>
      <c r="CR10" s="16">
        <v>0.0</v>
      </c>
      <c r="CS10" s="16">
        <v>0.0</v>
      </c>
      <c r="CT10" s="16">
        <v>0.0</v>
      </c>
      <c r="CU10" s="16">
        <v>0.0</v>
      </c>
      <c r="CV10" s="16">
        <v>0.0</v>
      </c>
      <c r="CW10" s="16">
        <v>0.0</v>
      </c>
      <c r="CX10" s="16">
        <v>0.0</v>
      </c>
      <c r="CY10" s="16">
        <v>0.0</v>
      </c>
      <c r="CZ10" s="16">
        <v>0.0</v>
      </c>
      <c r="DA10" s="16">
        <v>0.0</v>
      </c>
      <c r="DB10" s="16">
        <v>0.0</v>
      </c>
      <c r="DC10" s="16">
        <v>0.0</v>
      </c>
      <c r="DD10" s="16">
        <v>0.0</v>
      </c>
      <c r="DE10" s="16">
        <v>0.0</v>
      </c>
      <c r="DF10" s="16">
        <v>0.0</v>
      </c>
      <c r="DG10" s="16">
        <v>0.0</v>
      </c>
      <c r="DH10" s="16">
        <v>0.0</v>
      </c>
      <c r="DI10" s="16">
        <v>0.0</v>
      </c>
      <c r="DJ10" s="16">
        <v>0.0</v>
      </c>
      <c r="DK10" s="16">
        <v>0.0</v>
      </c>
      <c r="DL10" s="16">
        <v>0.0</v>
      </c>
      <c r="DM10" s="16">
        <v>0.0</v>
      </c>
      <c r="DN10" s="16">
        <v>0.0</v>
      </c>
      <c r="DO10" s="16">
        <v>0.0</v>
      </c>
      <c r="DP10" s="16">
        <v>0.0</v>
      </c>
      <c r="DQ10" s="16">
        <v>0.0</v>
      </c>
      <c r="DR10" s="16">
        <v>0.0</v>
      </c>
      <c r="DS10" s="16">
        <v>0.0</v>
      </c>
      <c r="DT10" s="16">
        <v>0.0</v>
      </c>
      <c r="DU10" s="16">
        <v>0.0</v>
      </c>
      <c r="DV10" s="16">
        <v>0.0</v>
      </c>
      <c r="DW10" s="16">
        <v>0.0</v>
      </c>
      <c r="DX10" s="16">
        <v>0.0</v>
      </c>
      <c r="DY10" s="16">
        <v>0.0</v>
      </c>
      <c r="DZ10" s="16">
        <v>0.0</v>
      </c>
      <c r="EA10" s="16">
        <v>0.0</v>
      </c>
      <c r="EB10" s="16">
        <v>0.0</v>
      </c>
      <c r="EC10" s="16">
        <v>0.0</v>
      </c>
      <c r="ED10" s="16">
        <v>0.0</v>
      </c>
      <c r="EE10" s="16">
        <v>0.0</v>
      </c>
      <c r="EF10" s="16">
        <v>0.0</v>
      </c>
      <c r="EG10" s="16">
        <v>0.0</v>
      </c>
      <c r="EH10" s="16">
        <v>0.0</v>
      </c>
      <c r="EI10" s="16">
        <v>0.0</v>
      </c>
      <c r="EJ10" s="16">
        <v>0.0</v>
      </c>
      <c r="EK10" s="16">
        <v>0.0</v>
      </c>
      <c r="EL10" s="16">
        <v>0.0</v>
      </c>
      <c r="EM10" s="16">
        <v>0.0</v>
      </c>
      <c r="EN10" s="16">
        <v>0.0</v>
      </c>
      <c r="EO10" s="16">
        <v>0.0</v>
      </c>
      <c r="EP10" s="16">
        <v>0.0</v>
      </c>
      <c r="EQ10" s="16">
        <v>0.0</v>
      </c>
      <c r="ER10" s="16">
        <v>0.0</v>
      </c>
      <c r="ES10" s="16">
        <v>0.0</v>
      </c>
      <c r="ET10" s="16">
        <v>0.0</v>
      </c>
      <c r="EU10" s="16">
        <v>0.0</v>
      </c>
      <c r="EV10" s="16">
        <v>0.0</v>
      </c>
      <c r="EW10" s="16">
        <v>0.0</v>
      </c>
      <c r="EX10" s="16">
        <v>0.0</v>
      </c>
      <c r="EY10" s="16">
        <v>0.0</v>
      </c>
      <c r="EZ10" s="16">
        <v>0.0</v>
      </c>
      <c r="FA10" s="16">
        <v>0.0</v>
      </c>
      <c r="FB10" s="16">
        <v>0.0</v>
      </c>
      <c r="FC10" s="16">
        <v>0.0</v>
      </c>
      <c r="FD10" s="16">
        <v>0.0</v>
      </c>
      <c r="FE10" s="16">
        <v>0.0</v>
      </c>
      <c r="FF10" s="16">
        <v>0.0</v>
      </c>
      <c r="FG10" s="16">
        <v>0.0</v>
      </c>
      <c r="FH10" s="16">
        <v>0.0</v>
      </c>
      <c r="FI10" s="16">
        <v>0.0</v>
      </c>
      <c r="FJ10" s="16">
        <v>0.0</v>
      </c>
      <c r="FK10" s="16">
        <v>0.0</v>
      </c>
      <c r="FL10" s="16">
        <v>0.0</v>
      </c>
      <c r="FM10" s="16">
        <v>0.0</v>
      </c>
      <c r="FN10" s="16">
        <v>0.0</v>
      </c>
      <c r="FO10" s="16">
        <v>0.0</v>
      </c>
      <c r="FP10" s="16">
        <v>0.0</v>
      </c>
      <c r="FQ10" s="16">
        <v>0.0</v>
      </c>
      <c r="FR10" s="16">
        <v>0.0</v>
      </c>
      <c r="FS10" s="16">
        <v>0.0</v>
      </c>
      <c r="FT10" s="16">
        <v>0.0</v>
      </c>
      <c r="FU10" s="16">
        <v>0.0</v>
      </c>
      <c r="FV10" s="16">
        <v>0.0</v>
      </c>
      <c r="FW10" s="16">
        <v>0.0</v>
      </c>
    </row>
    <row r="11">
      <c r="A11" s="15" t="s">
        <v>205</v>
      </c>
      <c r="B11" s="16">
        <v>0.0</v>
      </c>
      <c r="C11" s="16">
        <v>0.0</v>
      </c>
      <c r="D11" s="16">
        <v>1.0</v>
      </c>
      <c r="E11" s="16">
        <v>0.0</v>
      </c>
      <c r="F11" s="16">
        <v>0.0</v>
      </c>
      <c r="G11" s="16">
        <v>0.0</v>
      </c>
      <c r="H11" s="16">
        <v>0.0</v>
      </c>
      <c r="I11" s="16">
        <v>0.0</v>
      </c>
      <c r="J11" s="16">
        <v>0.0</v>
      </c>
      <c r="K11" s="16">
        <v>0.0</v>
      </c>
      <c r="L11" s="16">
        <v>2.0</v>
      </c>
      <c r="M11" s="16">
        <v>1.0</v>
      </c>
      <c r="N11" s="16">
        <v>0.0</v>
      </c>
      <c r="O11" s="16">
        <v>0.0</v>
      </c>
      <c r="P11" s="16">
        <v>0.0</v>
      </c>
      <c r="Q11" s="16">
        <v>0.0</v>
      </c>
      <c r="R11" s="16">
        <v>2.0</v>
      </c>
      <c r="S11" s="16">
        <v>0.0</v>
      </c>
      <c r="T11" s="16">
        <v>0.0</v>
      </c>
      <c r="U11" s="16">
        <v>0.0</v>
      </c>
      <c r="V11" s="16">
        <v>0.0</v>
      </c>
      <c r="W11" s="16">
        <v>0.0</v>
      </c>
      <c r="X11" s="16">
        <v>4.0</v>
      </c>
      <c r="Y11" s="16">
        <v>4.0</v>
      </c>
      <c r="Z11" s="16">
        <v>1.0</v>
      </c>
      <c r="AA11" s="16">
        <v>1.0</v>
      </c>
      <c r="AB11" s="16">
        <v>1.0</v>
      </c>
      <c r="AC11" s="16">
        <v>0.0</v>
      </c>
      <c r="AD11" s="16">
        <v>1.0</v>
      </c>
      <c r="AE11" s="16">
        <v>0.0</v>
      </c>
      <c r="AF11" s="16">
        <v>0.0</v>
      </c>
      <c r="AG11" s="16">
        <v>0.0</v>
      </c>
      <c r="AH11" s="16">
        <v>1.0</v>
      </c>
      <c r="AI11" s="16">
        <v>0.0</v>
      </c>
      <c r="AJ11" s="16">
        <v>0.0</v>
      </c>
      <c r="AK11" s="16">
        <v>0.0</v>
      </c>
      <c r="AL11" s="16">
        <v>0.0</v>
      </c>
      <c r="AM11" s="16">
        <v>0.0</v>
      </c>
      <c r="AN11" s="16">
        <v>0.0</v>
      </c>
      <c r="AO11" s="16">
        <v>0.0</v>
      </c>
      <c r="AP11" s="16">
        <v>0.0</v>
      </c>
      <c r="AQ11" s="16">
        <v>0.0</v>
      </c>
      <c r="AR11" s="16">
        <v>0.0</v>
      </c>
      <c r="AS11" s="16">
        <v>0.0</v>
      </c>
      <c r="AT11" s="16">
        <v>0.0</v>
      </c>
      <c r="AU11" s="16">
        <v>0.0</v>
      </c>
      <c r="AV11" s="16">
        <v>3.0</v>
      </c>
      <c r="AW11" s="16">
        <v>2.0</v>
      </c>
      <c r="AX11" s="16">
        <v>0.0</v>
      </c>
      <c r="AY11" s="16">
        <v>0.0</v>
      </c>
      <c r="AZ11" s="16">
        <v>0.0</v>
      </c>
      <c r="BA11" s="16">
        <v>0.0</v>
      </c>
      <c r="BB11" s="16">
        <v>0.0</v>
      </c>
      <c r="BC11" s="16">
        <v>0.0</v>
      </c>
      <c r="BD11" s="16">
        <v>1.0</v>
      </c>
      <c r="BE11" s="16">
        <v>0.0</v>
      </c>
      <c r="BF11" s="16">
        <v>1.0</v>
      </c>
      <c r="BG11" s="16">
        <v>0.0</v>
      </c>
      <c r="BH11" s="16">
        <v>0.0</v>
      </c>
      <c r="BI11" s="16">
        <v>0.0</v>
      </c>
      <c r="BJ11" s="16">
        <v>0.0</v>
      </c>
      <c r="BK11" s="16">
        <v>0.0</v>
      </c>
      <c r="BL11" s="16">
        <v>0.0</v>
      </c>
      <c r="BM11" s="16">
        <v>0.0</v>
      </c>
      <c r="BN11" s="16">
        <v>0.0</v>
      </c>
      <c r="BO11" s="16">
        <v>0.0</v>
      </c>
      <c r="BP11" s="16">
        <v>0.0</v>
      </c>
      <c r="BQ11" s="16">
        <v>0.0</v>
      </c>
      <c r="BR11" s="16">
        <v>0.0</v>
      </c>
      <c r="BS11" s="16">
        <v>0.0</v>
      </c>
      <c r="BT11" s="16">
        <v>1.0</v>
      </c>
      <c r="BU11" s="16">
        <v>1.0</v>
      </c>
      <c r="BV11" s="16">
        <v>0.0</v>
      </c>
      <c r="BW11" s="16">
        <v>0.0</v>
      </c>
      <c r="BX11" s="16">
        <v>0.0</v>
      </c>
      <c r="BY11" s="16">
        <v>0.0</v>
      </c>
      <c r="BZ11" s="16">
        <v>0.0</v>
      </c>
      <c r="CA11" s="16">
        <v>0.0</v>
      </c>
      <c r="CB11" s="16">
        <v>0.0</v>
      </c>
      <c r="CC11" s="16">
        <v>0.0</v>
      </c>
      <c r="CD11" s="16">
        <v>0.0</v>
      </c>
      <c r="CE11" s="16">
        <v>0.0</v>
      </c>
      <c r="CF11" s="16">
        <v>0.0</v>
      </c>
      <c r="CG11" s="16">
        <v>0.0</v>
      </c>
      <c r="CH11" s="16">
        <v>0.0</v>
      </c>
      <c r="CI11" s="16">
        <v>0.0</v>
      </c>
      <c r="CJ11" s="16">
        <v>1.0</v>
      </c>
      <c r="CK11" s="16">
        <v>0.0</v>
      </c>
      <c r="CL11" s="16">
        <v>0.0</v>
      </c>
      <c r="CM11" s="16">
        <v>0.0</v>
      </c>
      <c r="CN11" s="16">
        <v>0.0</v>
      </c>
      <c r="CO11" s="16">
        <v>0.0</v>
      </c>
      <c r="CP11" s="16">
        <v>0.0</v>
      </c>
      <c r="CQ11" s="16">
        <v>0.0</v>
      </c>
      <c r="CR11" s="16">
        <v>0.0</v>
      </c>
      <c r="CS11" s="16">
        <v>0.0</v>
      </c>
      <c r="CT11" s="16">
        <v>1.0</v>
      </c>
      <c r="CU11" s="16">
        <v>0.0</v>
      </c>
      <c r="CV11" s="16">
        <v>0.0</v>
      </c>
      <c r="CW11" s="16">
        <v>0.0</v>
      </c>
      <c r="CX11" s="16">
        <v>0.0</v>
      </c>
      <c r="CY11" s="16">
        <v>0.0</v>
      </c>
      <c r="CZ11" s="16">
        <v>0.0</v>
      </c>
      <c r="DA11" s="16">
        <v>0.0</v>
      </c>
      <c r="DB11" s="16">
        <v>0.0</v>
      </c>
      <c r="DC11" s="16">
        <v>0.0</v>
      </c>
      <c r="DD11" s="16">
        <v>0.0</v>
      </c>
      <c r="DE11" s="16">
        <v>0.0</v>
      </c>
      <c r="DF11" s="16">
        <v>1.0</v>
      </c>
      <c r="DG11" s="16">
        <v>0.0</v>
      </c>
      <c r="DH11" s="16">
        <v>0.0</v>
      </c>
      <c r="DI11" s="16">
        <v>0.0</v>
      </c>
      <c r="DJ11" s="16">
        <v>0.0</v>
      </c>
      <c r="DK11" s="16">
        <v>0.0</v>
      </c>
      <c r="DL11" s="16">
        <v>0.0</v>
      </c>
      <c r="DM11" s="16">
        <v>0.0</v>
      </c>
      <c r="DN11" s="16">
        <v>0.0</v>
      </c>
      <c r="DO11" s="16">
        <v>0.0</v>
      </c>
      <c r="DP11" s="16">
        <v>0.0</v>
      </c>
      <c r="DQ11" s="16">
        <v>0.0</v>
      </c>
      <c r="DR11" s="16">
        <v>0.0</v>
      </c>
      <c r="DS11" s="16">
        <v>0.0</v>
      </c>
      <c r="DT11" s="16">
        <v>0.0</v>
      </c>
      <c r="DU11" s="16">
        <v>0.0</v>
      </c>
      <c r="DV11" s="16">
        <v>1.0</v>
      </c>
      <c r="DW11" s="16">
        <v>1.0</v>
      </c>
      <c r="DX11" s="16">
        <v>0.0</v>
      </c>
      <c r="DY11" s="16">
        <v>0.0</v>
      </c>
      <c r="DZ11" s="16">
        <v>0.0</v>
      </c>
      <c r="EA11" s="16">
        <v>0.0</v>
      </c>
      <c r="EB11" s="16">
        <v>0.0</v>
      </c>
      <c r="EC11" s="16">
        <v>0.0</v>
      </c>
      <c r="ED11" s="16">
        <v>0.0</v>
      </c>
      <c r="EE11" s="16">
        <v>0.0</v>
      </c>
      <c r="EF11" s="16">
        <v>0.0</v>
      </c>
      <c r="EG11" s="16">
        <v>0.0</v>
      </c>
      <c r="EH11" s="16">
        <v>0.0</v>
      </c>
      <c r="EI11" s="16">
        <v>0.0</v>
      </c>
      <c r="EJ11" s="16">
        <v>0.0</v>
      </c>
      <c r="EK11" s="16">
        <v>0.0</v>
      </c>
      <c r="EL11" s="16">
        <v>0.0</v>
      </c>
      <c r="EM11" s="16">
        <v>0.0</v>
      </c>
      <c r="EN11" s="16">
        <v>0.0</v>
      </c>
      <c r="EO11" s="16">
        <v>0.0</v>
      </c>
      <c r="EP11" s="16">
        <v>0.0</v>
      </c>
      <c r="EQ11" s="16">
        <v>0.0</v>
      </c>
      <c r="ER11" s="16">
        <v>0.0</v>
      </c>
      <c r="ES11" s="16">
        <v>0.0</v>
      </c>
      <c r="ET11" s="16">
        <v>0.0</v>
      </c>
      <c r="EU11" s="16">
        <v>0.0</v>
      </c>
      <c r="EV11" s="16">
        <v>0.0</v>
      </c>
      <c r="EW11" s="16">
        <v>0.0</v>
      </c>
      <c r="EX11" s="16">
        <v>0.0</v>
      </c>
      <c r="EY11" s="16">
        <v>0.0</v>
      </c>
      <c r="EZ11" s="16">
        <v>0.0</v>
      </c>
      <c r="FA11" s="16">
        <v>0.0</v>
      </c>
      <c r="FB11" s="16">
        <v>0.0</v>
      </c>
      <c r="FC11" s="16">
        <v>0.0</v>
      </c>
      <c r="FD11" s="16">
        <v>0.0</v>
      </c>
      <c r="FE11" s="16">
        <v>0.0</v>
      </c>
      <c r="FF11" s="16">
        <v>0.0</v>
      </c>
      <c r="FG11" s="16">
        <v>0.0</v>
      </c>
      <c r="FH11" s="16">
        <v>0.0</v>
      </c>
      <c r="FI11" s="16">
        <v>0.0</v>
      </c>
      <c r="FJ11" s="16">
        <v>0.0</v>
      </c>
      <c r="FK11" s="16">
        <v>0.0</v>
      </c>
      <c r="FL11" s="16">
        <v>0.0</v>
      </c>
      <c r="FM11" s="16">
        <v>0.0</v>
      </c>
      <c r="FN11" s="16">
        <v>0.0</v>
      </c>
      <c r="FO11" s="16">
        <v>0.0</v>
      </c>
      <c r="FP11" s="16">
        <v>0.0</v>
      </c>
      <c r="FQ11" s="16">
        <v>0.0</v>
      </c>
      <c r="FR11" s="16">
        <v>0.0</v>
      </c>
      <c r="FS11" s="16">
        <v>0.0</v>
      </c>
      <c r="FT11" s="16">
        <v>0.0</v>
      </c>
      <c r="FU11" s="16">
        <v>0.0</v>
      </c>
      <c r="FV11" s="16">
        <v>0.0</v>
      </c>
      <c r="FW11" s="16">
        <v>0.0</v>
      </c>
    </row>
    <row r="12">
      <c r="A12" s="15" t="s">
        <v>206</v>
      </c>
      <c r="B12" s="16">
        <v>0.0</v>
      </c>
      <c r="C12" s="16">
        <v>0.0</v>
      </c>
      <c r="D12" s="16">
        <v>2.0</v>
      </c>
      <c r="E12" s="16">
        <v>2.0</v>
      </c>
      <c r="F12" s="16">
        <v>1.0</v>
      </c>
      <c r="G12" s="16">
        <v>0.0</v>
      </c>
      <c r="H12" s="16">
        <v>0.0</v>
      </c>
      <c r="I12" s="16">
        <v>0.0</v>
      </c>
      <c r="J12" s="16">
        <v>0.0</v>
      </c>
      <c r="K12" s="16">
        <v>0.0</v>
      </c>
      <c r="L12" s="16">
        <v>0.0</v>
      </c>
      <c r="M12" s="16">
        <v>0.0</v>
      </c>
      <c r="N12" s="16">
        <v>1.0</v>
      </c>
      <c r="O12" s="16">
        <v>0.0</v>
      </c>
      <c r="P12" s="16">
        <v>1.0</v>
      </c>
      <c r="Q12" s="16">
        <v>1.0</v>
      </c>
      <c r="R12" s="16">
        <v>1.0</v>
      </c>
      <c r="S12" s="16">
        <v>0.0</v>
      </c>
      <c r="T12" s="16">
        <v>0.0</v>
      </c>
      <c r="U12" s="16">
        <v>0.0</v>
      </c>
      <c r="V12" s="16">
        <v>1.0</v>
      </c>
      <c r="W12" s="16">
        <v>1.0</v>
      </c>
      <c r="X12" s="16">
        <v>1.0</v>
      </c>
      <c r="Y12" s="16">
        <v>1.0</v>
      </c>
      <c r="Z12" s="16">
        <v>2.0</v>
      </c>
      <c r="AA12" s="16">
        <v>1.0</v>
      </c>
      <c r="AB12" s="16">
        <v>0.0</v>
      </c>
      <c r="AC12" s="16">
        <v>0.0</v>
      </c>
      <c r="AD12" s="16">
        <v>1.0</v>
      </c>
      <c r="AE12" s="16">
        <v>1.0</v>
      </c>
      <c r="AF12" s="16">
        <v>0.0</v>
      </c>
      <c r="AG12" s="16">
        <v>0.0</v>
      </c>
      <c r="AH12" s="16">
        <v>0.0</v>
      </c>
      <c r="AI12" s="16">
        <v>0.0</v>
      </c>
      <c r="AJ12" s="16">
        <v>1.0</v>
      </c>
      <c r="AK12" s="16">
        <v>1.0</v>
      </c>
      <c r="AL12" s="16">
        <v>0.0</v>
      </c>
      <c r="AM12" s="16">
        <v>0.0</v>
      </c>
      <c r="AN12" s="16">
        <v>0.0</v>
      </c>
      <c r="AO12" s="16">
        <v>0.0</v>
      </c>
      <c r="AP12" s="16">
        <v>0.0</v>
      </c>
      <c r="AQ12" s="16">
        <v>0.0</v>
      </c>
      <c r="AR12" s="16">
        <v>0.0</v>
      </c>
      <c r="AS12" s="16">
        <v>0.0</v>
      </c>
      <c r="AT12" s="16">
        <v>1.0</v>
      </c>
      <c r="AU12" s="16">
        <v>1.0</v>
      </c>
      <c r="AV12" s="16">
        <v>2.0</v>
      </c>
      <c r="AW12" s="16">
        <v>0.0</v>
      </c>
      <c r="AX12" s="16">
        <v>1.0</v>
      </c>
      <c r="AY12" s="16">
        <v>0.0</v>
      </c>
      <c r="AZ12" s="16">
        <v>0.0</v>
      </c>
      <c r="BA12" s="16">
        <v>0.0</v>
      </c>
      <c r="BB12" s="16">
        <v>0.0</v>
      </c>
      <c r="BC12" s="16">
        <v>0.0</v>
      </c>
      <c r="BD12" s="16">
        <v>1.0</v>
      </c>
      <c r="BE12" s="16">
        <v>1.0</v>
      </c>
      <c r="BF12" s="16">
        <v>0.0</v>
      </c>
      <c r="BG12" s="16">
        <v>0.0</v>
      </c>
      <c r="BH12" s="16">
        <v>0.0</v>
      </c>
      <c r="BI12" s="16">
        <v>0.0</v>
      </c>
      <c r="BJ12" s="16">
        <v>0.0</v>
      </c>
      <c r="BK12" s="16">
        <v>0.0</v>
      </c>
      <c r="BL12" s="16">
        <v>1.0</v>
      </c>
      <c r="BM12" s="16">
        <v>0.0</v>
      </c>
      <c r="BN12" s="16">
        <v>0.0</v>
      </c>
      <c r="BO12" s="16">
        <v>0.0</v>
      </c>
      <c r="BP12" s="16">
        <v>0.0</v>
      </c>
      <c r="BQ12" s="16">
        <v>0.0</v>
      </c>
      <c r="BR12" s="16">
        <v>0.0</v>
      </c>
      <c r="BS12" s="16">
        <v>0.0</v>
      </c>
      <c r="BT12" s="16">
        <v>0.0</v>
      </c>
      <c r="BU12" s="16">
        <v>0.0</v>
      </c>
      <c r="BV12" s="16">
        <v>2.0</v>
      </c>
      <c r="BW12" s="16">
        <v>2.0</v>
      </c>
      <c r="BX12" s="16">
        <v>2.0</v>
      </c>
      <c r="BY12" s="16">
        <v>1.0</v>
      </c>
      <c r="BZ12" s="16">
        <v>1.0</v>
      </c>
      <c r="CA12" s="16">
        <v>1.0</v>
      </c>
      <c r="CB12" s="16">
        <v>1.0</v>
      </c>
      <c r="CC12" s="16">
        <v>1.0</v>
      </c>
      <c r="CD12" s="16">
        <v>0.0</v>
      </c>
      <c r="CE12" s="16">
        <v>0.0</v>
      </c>
      <c r="CF12" s="16">
        <v>0.0</v>
      </c>
      <c r="CG12" s="16">
        <v>0.0</v>
      </c>
      <c r="CH12" s="16">
        <v>0.0</v>
      </c>
      <c r="CI12" s="16">
        <v>0.0</v>
      </c>
      <c r="CJ12" s="16">
        <v>1.0</v>
      </c>
      <c r="CK12" s="16">
        <v>1.0</v>
      </c>
      <c r="CL12" s="16">
        <v>0.0</v>
      </c>
      <c r="CM12" s="16">
        <v>0.0</v>
      </c>
      <c r="CN12" s="16">
        <v>0.0</v>
      </c>
      <c r="CO12" s="16">
        <v>0.0</v>
      </c>
      <c r="CP12" s="16">
        <v>0.0</v>
      </c>
      <c r="CQ12" s="16">
        <v>0.0</v>
      </c>
      <c r="CR12" s="16">
        <v>1.0</v>
      </c>
      <c r="CS12" s="16">
        <v>1.0</v>
      </c>
      <c r="CT12" s="16">
        <v>0.0</v>
      </c>
      <c r="CU12" s="16">
        <v>0.0</v>
      </c>
      <c r="CV12" s="16">
        <v>0.0</v>
      </c>
      <c r="CW12" s="16">
        <v>0.0</v>
      </c>
      <c r="CX12" s="16">
        <v>0.0</v>
      </c>
      <c r="CY12" s="16">
        <v>0.0</v>
      </c>
      <c r="CZ12" s="16">
        <v>0.0</v>
      </c>
      <c r="DA12" s="16">
        <v>0.0</v>
      </c>
      <c r="DB12" s="16">
        <v>0.0</v>
      </c>
      <c r="DC12" s="16">
        <v>0.0</v>
      </c>
      <c r="DD12" s="16">
        <v>0.0</v>
      </c>
      <c r="DE12" s="16">
        <v>0.0</v>
      </c>
      <c r="DF12" s="16">
        <v>0.0</v>
      </c>
      <c r="DG12" s="16">
        <v>0.0</v>
      </c>
      <c r="DH12" s="16">
        <v>0.0</v>
      </c>
      <c r="DI12" s="16">
        <v>0.0</v>
      </c>
      <c r="DJ12" s="16">
        <v>1.0</v>
      </c>
      <c r="DK12" s="16">
        <v>1.0</v>
      </c>
      <c r="DL12" s="16">
        <v>1.0</v>
      </c>
      <c r="DM12" s="16">
        <v>1.0</v>
      </c>
      <c r="DN12" s="16">
        <v>1.0</v>
      </c>
      <c r="DO12" s="16">
        <v>0.0</v>
      </c>
      <c r="DP12" s="16">
        <v>0.0</v>
      </c>
      <c r="DQ12" s="16">
        <v>0.0</v>
      </c>
      <c r="DR12" s="16">
        <v>0.0</v>
      </c>
      <c r="DS12" s="16">
        <v>0.0</v>
      </c>
      <c r="DT12" s="16">
        <v>0.0</v>
      </c>
      <c r="DU12" s="16">
        <v>0.0</v>
      </c>
      <c r="DV12" s="16">
        <v>0.0</v>
      </c>
      <c r="DW12" s="16">
        <v>0.0</v>
      </c>
      <c r="DX12" s="16">
        <v>0.0</v>
      </c>
      <c r="DY12" s="16">
        <v>0.0</v>
      </c>
      <c r="DZ12" s="16">
        <v>0.0</v>
      </c>
      <c r="EA12" s="16">
        <v>0.0</v>
      </c>
      <c r="EB12" s="16">
        <v>0.0</v>
      </c>
      <c r="EC12" s="16">
        <v>0.0</v>
      </c>
      <c r="ED12" s="16">
        <v>0.0</v>
      </c>
      <c r="EE12" s="16">
        <v>0.0</v>
      </c>
      <c r="EF12" s="16">
        <v>0.0</v>
      </c>
      <c r="EG12" s="16">
        <v>0.0</v>
      </c>
      <c r="EH12" s="16">
        <v>0.0</v>
      </c>
      <c r="EI12" s="16">
        <v>0.0</v>
      </c>
      <c r="EJ12" s="16">
        <v>0.0</v>
      </c>
      <c r="EK12" s="16">
        <v>0.0</v>
      </c>
      <c r="EL12" s="16">
        <v>0.0</v>
      </c>
      <c r="EM12" s="16">
        <v>0.0</v>
      </c>
      <c r="EN12" s="16">
        <v>0.0</v>
      </c>
      <c r="EO12" s="16">
        <v>0.0</v>
      </c>
      <c r="EP12" s="16">
        <v>0.0</v>
      </c>
      <c r="EQ12" s="16">
        <v>0.0</v>
      </c>
      <c r="ER12" s="16">
        <v>0.0</v>
      </c>
      <c r="ES12" s="16">
        <v>0.0</v>
      </c>
      <c r="ET12" s="16">
        <v>0.0</v>
      </c>
      <c r="EU12" s="16">
        <v>0.0</v>
      </c>
      <c r="EV12" s="16">
        <v>0.0</v>
      </c>
      <c r="EW12" s="16">
        <v>0.0</v>
      </c>
      <c r="EX12" s="16">
        <v>1.0</v>
      </c>
      <c r="EY12" s="16">
        <v>1.0</v>
      </c>
      <c r="EZ12" s="16">
        <v>0.0</v>
      </c>
      <c r="FA12" s="16">
        <v>0.0</v>
      </c>
      <c r="FB12" s="16">
        <v>0.0</v>
      </c>
      <c r="FC12" s="16">
        <v>0.0</v>
      </c>
      <c r="FD12" s="16">
        <v>0.0</v>
      </c>
      <c r="FE12" s="16">
        <v>0.0</v>
      </c>
      <c r="FF12" s="16">
        <v>0.0</v>
      </c>
      <c r="FG12" s="16">
        <v>0.0</v>
      </c>
      <c r="FH12" s="16">
        <v>0.0</v>
      </c>
      <c r="FI12" s="16">
        <v>0.0</v>
      </c>
      <c r="FJ12" s="16">
        <v>0.0</v>
      </c>
      <c r="FK12" s="16">
        <v>0.0</v>
      </c>
      <c r="FL12" s="16">
        <v>0.0</v>
      </c>
      <c r="FM12" s="16">
        <v>0.0</v>
      </c>
      <c r="FN12" s="16">
        <v>0.0</v>
      </c>
      <c r="FO12" s="16">
        <v>0.0</v>
      </c>
      <c r="FP12" s="16">
        <v>0.0</v>
      </c>
      <c r="FQ12" s="16">
        <v>0.0</v>
      </c>
      <c r="FR12" s="16">
        <v>0.0</v>
      </c>
      <c r="FS12" s="16">
        <v>0.0</v>
      </c>
      <c r="FT12" s="16">
        <v>0.0</v>
      </c>
      <c r="FU12" s="16">
        <v>0.0</v>
      </c>
      <c r="FV12" s="16">
        <v>0.0</v>
      </c>
      <c r="FW12" s="16">
        <v>0.0</v>
      </c>
    </row>
    <row r="13">
      <c r="A13" s="15" t="s">
        <v>207</v>
      </c>
      <c r="B13" s="16">
        <v>0.0</v>
      </c>
      <c r="C13" s="16">
        <v>0.0</v>
      </c>
      <c r="D13" s="16">
        <v>0.0</v>
      </c>
      <c r="E13" s="16">
        <v>0.0</v>
      </c>
      <c r="F13" s="16">
        <v>3.0</v>
      </c>
      <c r="G13" s="16">
        <v>1.0</v>
      </c>
      <c r="H13" s="16">
        <v>2.0</v>
      </c>
      <c r="I13" s="16">
        <v>1.0</v>
      </c>
      <c r="J13" s="16">
        <v>0.0</v>
      </c>
      <c r="K13" s="16">
        <v>0.0</v>
      </c>
      <c r="L13" s="16">
        <v>0.0</v>
      </c>
      <c r="M13" s="16">
        <v>0.0</v>
      </c>
      <c r="N13" s="16">
        <v>1.0</v>
      </c>
      <c r="O13" s="16">
        <v>0.0</v>
      </c>
      <c r="P13" s="16">
        <v>0.0</v>
      </c>
      <c r="Q13" s="16">
        <v>0.0</v>
      </c>
      <c r="R13" s="16">
        <v>1.0</v>
      </c>
      <c r="S13" s="16">
        <v>1.0</v>
      </c>
      <c r="T13" s="16">
        <v>0.0</v>
      </c>
      <c r="U13" s="16">
        <v>0.0</v>
      </c>
      <c r="V13" s="16">
        <v>1.0</v>
      </c>
      <c r="W13" s="16">
        <v>1.0</v>
      </c>
      <c r="X13" s="16">
        <v>1.0</v>
      </c>
      <c r="Y13" s="16">
        <v>1.0</v>
      </c>
      <c r="Z13" s="16">
        <v>0.0</v>
      </c>
      <c r="AA13" s="16">
        <v>0.0</v>
      </c>
      <c r="AB13" s="16">
        <v>2.0</v>
      </c>
      <c r="AC13" s="16">
        <v>1.0</v>
      </c>
      <c r="AD13" s="16">
        <v>0.0</v>
      </c>
      <c r="AE13" s="16">
        <v>0.0</v>
      </c>
      <c r="AF13" s="16">
        <v>0.0</v>
      </c>
      <c r="AG13" s="16">
        <v>0.0</v>
      </c>
      <c r="AH13" s="16">
        <v>0.0</v>
      </c>
      <c r="AI13" s="16">
        <v>0.0</v>
      </c>
      <c r="AJ13" s="16">
        <v>0.0</v>
      </c>
      <c r="AK13" s="16">
        <v>0.0</v>
      </c>
      <c r="AL13" s="16">
        <v>0.0</v>
      </c>
      <c r="AM13" s="16">
        <v>0.0</v>
      </c>
      <c r="AN13" s="16">
        <v>0.0</v>
      </c>
      <c r="AO13" s="16">
        <v>0.0</v>
      </c>
      <c r="AP13" s="16">
        <v>0.0</v>
      </c>
      <c r="AQ13" s="16">
        <v>0.0</v>
      </c>
      <c r="AR13" s="16">
        <v>0.0</v>
      </c>
      <c r="AS13" s="16">
        <v>0.0</v>
      </c>
      <c r="AT13" s="16">
        <v>0.0</v>
      </c>
      <c r="AU13" s="16">
        <v>0.0</v>
      </c>
      <c r="AV13" s="16">
        <v>4.0</v>
      </c>
      <c r="AW13" s="16">
        <v>1.0</v>
      </c>
      <c r="AX13" s="16">
        <v>0.0</v>
      </c>
      <c r="AY13" s="16">
        <v>0.0</v>
      </c>
      <c r="AZ13" s="16">
        <v>0.0</v>
      </c>
      <c r="BA13" s="16">
        <v>0.0</v>
      </c>
      <c r="BB13" s="16">
        <v>0.0</v>
      </c>
      <c r="BC13" s="16">
        <v>0.0</v>
      </c>
      <c r="BD13" s="16">
        <v>1.0</v>
      </c>
      <c r="BE13" s="16">
        <v>0.0</v>
      </c>
      <c r="BF13" s="16">
        <v>0.0</v>
      </c>
      <c r="BG13" s="16">
        <v>0.0</v>
      </c>
      <c r="BH13" s="16">
        <v>0.0</v>
      </c>
      <c r="BI13" s="16">
        <v>0.0</v>
      </c>
      <c r="BJ13" s="16">
        <v>0.0</v>
      </c>
      <c r="BK13" s="16">
        <v>0.0</v>
      </c>
      <c r="BL13" s="16">
        <v>0.0</v>
      </c>
      <c r="BM13" s="16">
        <v>0.0</v>
      </c>
      <c r="BN13" s="16">
        <v>0.0</v>
      </c>
      <c r="BO13" s="16">
        <v>0.0</v>
      </c>
      <c r="BP13" s="16">
        <v>0.0</v>
      </c>
      <c r="BQ13" s="16">
        <v>0.0</v>
      </c>
      <c r="BR13" s="16">
        <v>0.0</v>
      </c>
      <c r="BS13" s="16">
        <v>0.0</v>
      </c>
      <c r="BT13" s="16">
        <v>0.0</v>
      </c>
      <c r="BU13" s="16">
        <v>0.0</v>
      </c>
      <c r="BV13" s="16">
        <v>0.0</v>
      </c>
      <c r="BW13" s="16">
        <v>0.0</v>
      </c>
      <c r="BX13" s="16">
        <v>0.0</v>
      </c>
      <c r="BY13" s="16">
        <v>0.0</v>
      </c>
      <c r="BZ13" s="16">
        <v>0.0</v>
      </c>
      <c r="CA13" s="16">
        <v>0.0</v>
      </c>
      <c r="CB13" s="16">
        <v>0.0</v>
      </c>
      <c r="CC13" s="16">
        <v>0.0</v>
      </c>
      <c r="CD13" s="16">
        <v>0.0</v>
      </c>
      <c r="CE13" s="16">
        <v>0.0</v>
      </c>
      <c r="CF13" s="16">
        <v>1.0</v>
      </c>
      <c r="CG13" s="16">
        <v>0.0</v>
      </c>
      <c r="CH13" s="16">
        <v>0.0</v>
      </c>
      <c r="CI13" s="16">
        <v>0.0</v>
      </c>
      <c r="CJ13" s="16">
        <v>2.0</v>
      </c>
      <c r="CK13" s="16">
        <v>2.0</v>
      </c>
      <c r="CL13" s="16">
        <v>1.0</v>
      </c>
      <c r="CM13" s="16">
        <v>1.0</v>
      </c>
      <c r="CN13" s="16">
        <v>0.0</v>
      </c>
      <c r="CO13" s="16">
        <v>0.0</v>
      </c>
      <c r="CP13" s="16">
        <v>0.0</v>
      </c>
      <c r="CQ13" s="16">
        <v>0.0</v>
      </c>
      <c r="CR13" s="16">
        <v>0.0</v>
      </c>
      <c r="CS13" s="16">
        <v>0.0</v>
      </c>
      <c r="CT13" s="16">
        <v>0.0</v>
      </c>
      <c r="CU13" s="16">
        <v>0.0</v>
      </c>
      <c r="CV13" s="16">
        <v>0.0</v>
      </c>
      <c r="CW13" s="16">
        <v>0.0</v>
      </c>
      <c r="CX13" s="16">
        <v>0.0</v>
      </c>
      <c r="CY13" s="16">
        <v>0.0</v>
      </c>
      <c r="CZ13" s="16">
        <v>0.0</v>
      </c>
      <c r="DA13" s="16">
        <v>0.0</v>
      </c>
      <c r="DB13" s="16">
        <v>0.0</v>
      </c>
      <c r="DC13" s="16">
        <v>0.0</v>
      </c>
      <c r="DD13" s="16">
        <v>0.0</v>
      </c>
      <c r="DE13" s="16">
        <v>0.0</v>
      </c>
      <c r="DF13" s="16">
        <v>0.0</v>
      </c>
      <c r="DG13" s="16">
        <v>0.0</v>
      </c>
      <c r="DH13" s="16">
        <v>0.0</v>
      </c>
      <c r="DI13" s="16">
        <v>0.0</v>
      </c>
      <c r="DJ13" s="16">
        <v>0.0</v>
      </c>
      <c r="DK13" s="16">
        <v>0.0</v>
      </c>
      <c r="DL13" s="16">
        <v>0.0</v>
      </c>
      <c r="DM13" s="16">
        <v>0.0</v>
      </c>
      <c r="DN13" s="16">
        <v>0.0</v>
      </c>
      <c r="DO13" s="16">
        <v>0.0</v>
      </c>
      <c r="DP13" s="16">
        <v>0.0</v>
      </c>
      <c r="DQ13" s="16">
        <v>0.0</v>
      </c>
      <c r="DR13" s="16">
        <v>0.0</v>
      </c>
      <c r="DS13" s="16">
        <v>0.0</v>
      </c>
      <c r="DT13" s="16">
        <v>0.0</v>
      </c>
      <c r="DU13" s="16">
        <v>0.0</v>
      </c>
      <c r="DV13" s="16">
        <v>0.0</v>
      </c>
      <c r="DW13" s="16">
        <v>0.0</v>
      </c>
      <c r="DX13" s="16">
        <v>0.0</v>
      </c>
      <c r="DY13" s="16">
        <v>0.0</v>
      </c>
      <c r="DZ13" s="16">
        <v>0.0</v>
      </c>
      <c r="EA13" s="16">
        <v>0.0</v>
      </c>
      <c r="EB13" s="16">
        <v>0.0</v>
      </c>
      <c r="EC13" s="16">
        <v>0.0</v>
      </c>
      <c r="ED13" s="16">
        <v>0.0</v>
      </c>
      <c r="EE13" s="16">
        <v>0.0</v>
      </c>
      <c r="EF13" s="16">
        <v>0.0</v>
      </c>
      <c r="EG13" s="16">
        <v>0.0</v>
      </c>
      <c r="EH13" s="16">
        <v>0.0</v>
      </c>
      <c r="EI13" s="16">
        <v>0.0</v>
      </c>
      <c r="EJ13" s="16">
        <v>0.0</v>
      </c>
      <c r="EK13" s="16">
        <v>0.0</v>
      </c>
      <c r="EL13" s="16">
        <v>0.0</v>
      </c>
      <c r="EM13" s="16">
        <v>0.0</v>
      </c>
      <c r="EN13" s="16">
        <v>0.0</v>
      </c>
      <c r="EO13" s="16">
        <v>0.0</v>
      </c>
      <c r="EP13" s="16">
        <v>0.0</v>
      </c>
      <c r="EQ13" s="16">
        <v>0.0</v>
      </c>
      <c r="ER13" s="16">
        <v>0.0</v>
      </c>
      <c r="ES13" s="16">
        <v>0.0</v>
      </c>
      <c r="ET13" s="16">
        <v>0.0</v>
      </c>
      <c r="EU13" s="16">
        <v>0.0</v>
      </c>
      <c r="EV13" s="16">
        <v>0.0</v>
      </c>
      <c r="EW13" s="16">
        <v>0.0</v>
      </c>
      <c r="EX13" s="16">
        <v>0.0</v>
      </c>
      <c r="EY13" s="16">
        <v>0.0</v>
      </c>
      <c r="EZ13" s="16">
        <v>0.0</v>
      </c>
      <c r="FA13" s="16">
        <v>0.0</v>
      </c>
      <c r="FB13" s="16">
        <v>2.0</v>
      </c>
      <c r="FC13" s="16">
        <v>1.0</v>
      </c>
      <c r="FD13" s="16">
        <v>0.0</v>
      </c>
      <c r="FE13" s="16">
        <v>0.0</v>
      </c>
      <c r="FF13" s="16">
        <v>0.0</v>
      </c>
      <c r="FG13" s="16">
        <v>0.0</v>
      </c>
      <c r="FH13" s="16">
        <v>0.0</v>
      </c>
      <c r="FI13" s="16">
        <v>0.0</v>
      </c>
      <c r="FJ13" s="16">
        <v>0.0</v>
      </c>
      <c r="FK13" s="16">
        <v>0.0</v>
      </c>
      <c r="FL13" s="16">
        <v>1.0</v>
      </c>
      <c r="FM13" s="16">
        <v>0.0</v>
      </c>
      <c r="FN13" s="16">
        <v>1.0</v>
      </c>
      <c r="FO13" s="16">
        <v>1.0</v>
      </c>
      <c r="FP13" s="16">
        <v>0.0</v>
      </c>
      <c r="FQ13" s="16">
        <v>0.0</v>
      </c>
      <c r="FR13" s="16">
        <v>0.0</v>
      </c>
      <c r="FS13" s="16">
        <v>0.0</v>
      </c>
      <c r="FT13" s="16">
        <v>0.0</v>
      </c>
      <c r="FU13" s="16">
        <v>0.0</v>
      </c>
      <c r="FV13" s="16">
        <v>0.0</v>
      </c>
      <c r="FW13" s="16">
        <v>0.0</v>
      </c>
    </row>
    <row r="14">
      <c r="A14" s="15" t="s">
        <v>208</v>
      </c>
      <c r="B14" s="16">
        <v>0.0</v>
      </c>
      <c r="C14" s="16">
        <v>0.0</v>
      </c>
      <c r="D14" s="16">
        <v>1.0</v>
      </c>
      <c r="E14" s="16">
        <v>1.0</v>
      </c>
      <c r="F14" s="16">
        <v>2.0</v>
      </c>
      <c r="G14" s="16">
        <v>0.0</v>
      </c>
      <c r="H14" s="16">
        <v>0.0</v>
      </c>
      <c r="I14" s="16">
        <v>0.0</v>
      </c>
      <c r="J14" s="16">
        <v>0.0</v>
      </c>
      <c r="K14" s="16">
        <v>0.0</v>
      </c>
      <c r="L14" s="16">
        <v>2.0</v>
      </c>
      <c r="M14" s="16">
        <v>2.0</v>
      </c>
      <c r="N14" s="16">
        <v>1.0</v>
      </c>
      <c r="O14" s="16">
        <v>1.0</v>
      </c>
      <c r="P14" s="16">
        <v>0.0</v>
      </c>
      <c r="Q14" s="16">
        <v>0.0</v>
      </c>
      <c r="R14" s="16">
        <v>1.0</v>
      </c>
      <c r="S14" s="16">
        <v>1.0</v>
      </c>
      <c r="T14" s="16">
        <v>0.0</v>
      </c>
      <c r="U14" s="16">
        <v>0.0</v>
      </c>
      <c r="V14" s="16">
        <v>0.0</v>
      </c>
      <c r="W14" s="16">
        <v>0.0</v>
      </c>
      <c r="X14" s="16">
        <v>1.0</v>
      </c>
      <c r="Y14" s="16">
        <v>1.0</v>
      </c>
      <c r="Z14" s="16">
        <v>0.0</v>
      </c>
      <c r="AA14" s="16">
        <v>0.0</v>
      </c>
      <c r="AB14" s="16">
        <v>1.0</v>
      </c>
      <c r="AC14" s="16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1.0</v>
      </c>
      <c r="AI14" s="16">
        <v>1.0</v>
      </c>
      <c r="AJ14" s="16">
        <v>0.0</v>
      </c>
      <c r="AK14" s="16">
        <v>0.0</v>
      </c>
      <c r="AL14" s="16">
        <v>0.0</v>
      </c>
      <c r="AM14" s="16">
        <v>0.0</v>
      </c>
      <c r="AN14" s="16">
        <v>0.0</v>
      </c>
      <c r="AO14" s="16">
        <v>0.0</v>
      </c>
      <c r="AP14" s="16">
        <v>0.0</v>
      </c>
      <c r="AQ14" s="16">
        <v>0.0</v>
      </c>
      <c r="AR14" s="16">
        <v>0.0</v>
      </c>
      <c r="AS14" s="16">
        <v>0.0</v>
      </c>
      <c r="AT14" s="16">
        <v>0.0</v>
      </c>
      <c r="AU14" s="16">
        <v>0.0</v>
      </c>
      <c r="AV14" s="16">
        <v>3.0</v>
      </c>
      <c r="AW14" s="16">
        <v>1.0</v>
      </c>
      <c r="AX14" s="16">
        <v>1.0</v>
      </c>
      <c r="AY14" s="16">
        <v>1.0</v>
      </c>
      <c r="AZ14" s="16">
        <v>0.0</v>
      </c>
      <c r="BA14" s="16">
        <v>0.0</v>
      </c>
      <c r="BB14" s="16">
        <v>0.0</v>
      </c>
      <c r="BC14" s="16">
        <v>0.0</v>
      </c>
      <c r="BD14" s="16">
        <v>1.0</v>
      </c>
      <c r="BE14" s="16">
        <v>0.0</v>
      </c>
      <c r="BF14" s="16">
        <v>0.0</v>
      </c>
      <c r="BG14" s="16">
        <v>0.0</v>
      </c>
      <c r="BH14" s="16">
        <v>0.0</v>
      </c>
      <c r="BI14" s="16">
        <v>0.0</v>
      </c>
      <c r="BJ14" s="16">
        <v>0.0</v>
      </c>
      <c r="BK14" s="16">
        <v>0.0</v>
      </c>
      <c r="BL14" s="16">
        <v>0.0</v>
      </c>
      <c r="BM14" s="16">
        <v>0.0</v>
      </c>
      <c r="BN14" s="16">
        <v>0.0</v>
      </c>
      <c r="BO14" s="16">
        <v>0.0</v>
      </c>
      <c r="BP14" s="16">
        <v>0.0</v>
      </c>
      <c r="BQ14" s="16">
        <v>0.0</v>
      </c>
      <c r="BR14" s="16">
        <v>0.0</v>
      </c>
      <c r="BS14" s="16">
        <v>0.0</v>
      </c>
      <c r="BT14" s="16">
        <v>0.0</v>
      </c>
      <c r="BU14" s="16">
        <v>0.0</v>
      </c>
      <c r="BV14" s="16">
        <v>0.0</v>
      </c>
      <c r="BW14" s="16">
        <v>0.0</v>
      </c>
      <c r="BX14" s="16">
        <v>0.0</v>
      </c>
      <c r="BY14" s="16">
        <v>0.0</v>
      </c>
      <c r="BZ14" s="16">
        <v>0.0</v>
      </c>
      <c r="CA14" s="16">
        <v>0.0</v>
      </c>
      <c r="CB14" s="16">
        <v>0.0</v>
      </c>
      <c r="CC14" s="16">
        <v>0.0</v>
      </c>
      <c r="CD14" s="16">
        <v>1.0</v>
      </c>
      <c r="CE14" s="16">
        <v>1.0</v>
      </c>
      <c r="CF14" s="16">
        <v>1.0</v>
      </c>
      <c r="CG14" s="16">
        <v>0.0</v>
      </c>
      <c r="CH14" s="16">
        <v>1.0</v>
      </c>
      <c r="CI14" s="16">
        <v>0.0</v>
      </c>
      <c r="CJ14" s="16">
        <v>0.0</v>
      </c>
      <c r="CK14" s="16">
        <v>0.0</v>
      </c>
      <c r="CL14" s="16">
        <v>0.0</v>
      </c>
      <c r="CM14" s="16">
        <v>0.0</v>
      </c>
      <c r="CN14" s="16">
        <v>0.0</v>
      </c>
      <c r="CO14" s="16">
        <v>0.0</v>
      </c>
      <c r="CP14" s="16">
        <v>0.0</v>
      </c>
      <c r="CQ14" s="16">
        <v>0.0</v>
      </c>
      <c r="CR14" s="16">
        <v>0.0</v>
      </c>
      <c r="CS14" s="16">
        <v>0.0</v>
      </c>
      <c r="CT14" s="16">
        <v>0.0</v>
      </c>
      <c r="CU14" s="16">
        <v>0.0</v>
      </c>
      <c r="CV14" s="16">
        <v>0.0</v>
      </c>
      <c r="CW14" s="16">
        <v>0.0</v>
      </c>
      <c r="CX14" s="16">
        <v>0.0</v>
      </c>
      <c r="CY14" s="16">
        <v>0.0</v>
      </c>
      <c r="CZ14" s="16">
        <v>0.0</v>
      </c>
      <c r="DA14" s="16">
        <v>0.0</v>
      </c>
      <c r="DB14" s="16">
        <v>1.0</v>
      </c>
      <c r="DC14" s="16">
        <v>0.0</v>
      </c>
      <c r="DD14" s="16">
        <v>0.0</v>
      </c>
      <c r="DE14" s="16">
        <v>0.0</v>
      </c>
      <c r="DF14" s="16">
        <v>0.0</v>
      </c>
      <c r="DG14" s="16">
        <v>0.0</v>
      </c>
      <c r="DH14" s="16">
        <v>0.0</v>
      </c>
      <c r="DI14" s="16">
        <v>0.0</v>
      </c>
      <c r="DJ14" s="16">
        <v>0.0</v>
      </c>
      <c r="DK14" s="16">
        <v>0.0</v>
      </c>
      <c r="DL14" s="16">
        <v>0.0</v>
      </c>
      <c r="DM14" s="16">
        <v>0.0</v>
      </c>
      <c r="DN14" s="16">
        <v>0.0</v>
      </c>
      <c r="DO14" s="16">
        <v>0.0</v>
      </c>
      <c r="DP14" s="16">
        <v>0.0</v>
      </c>
      <c r="DQ14" s="16">
        <v>0.0</v>
      </c>
      <c r="DR14" s="16">
        <v>0.0</v>
      </c>
      <c r="DS14" s="16">
        <v>0.0</v>
      </c>
      <c r="DT14" s="16">
        <v>0.0</v>
      </c>
      <c r="DU14" s="16">
        <v>0.0</v>
      </c>
      <c r="DV14" s="16">
        <v>0.0</v>
      </c>
      <c r="DW14" s="16">
        <v>0.0</v>
      </c>
      <c r="DX14" s="16">
        <v>0.0</v>
      </c>
      <c r="DY14" s="16">
        <v>0.0</v>
      </c>
      <c r="DZ14" s="16">
        <v>0.0</v>
      </c>
      <c r="EA14" s="16">
        <v>0.0</v>
      </c>
      <c r="EB14" s="16">
        <v>0.0</v>
      </c>
      <c r="EC14" s="16">
        <v>0.0</v>
      </c>
      <c r="ED14" s="16">
        <v>0.0</v>
      </c>
      <c r="EE14" s="16">
        <v>0.0</v>
      </c>
      <c r="EF14" s="16">
        <v>0.0</v>
      </c>
      <c r="EG14" s="16">
        <v>0.0</v>
      </c>
      <c r="EH14" s="16">
        <v>0.0</v>
      </c>
      <c r="EI14" s="16">
        <v>0.0</v>
      </c>
      <c r="EJ14" s="16">
        <v>0.0</v>
      </c>
      <c r="EK14" s="16">
        <v>0.0</v>
      </c>
      <c r="EL14" s="16">
        <v>0.0</v>
      </c>
      <c r="EM14" s="16">
        <v>0.0</v>
      </c>
      <c r="EN14" s="16">
        <v>0.0</v>
      </c>
      <c r="EO14" s="16">
        <v>0.0</v>
      </c>
      <c r="EP14" s="16">
        <v>0.0</v>
      </c>
      <c r="EQ14" s="16">
        <v>0.0</v>
      </c>
      <c r="ER14" s="16">
        <v>0.0</v>
      </c>
      <c r="ES14" s="16">
        <v>0.0</v>
      </c>
      <c r="ET14" s="16">
        <v>0.0</v>
      </c>
      <c r="EU14" s="16">
        <v>0.0</v>
      </c>
      <c r="EV14" s="16">
        <v>0.0</v>
      </c>
      <c r="EW14" s="16">
        <v>0.0</v>
      </c>
      <c r="EX14" s="16">
        <v>0.0</v>
      </c>
      <c r="EY14" s="16">
        <v>0.0</v>
      </c>
      <c r="EZ14" s="16">
        <v>0.0</v>
      </c>
      <c r="FA14" s="16">
        <v>0.0</v>
      </c>
      <c r="FB14" s="16">
        <v>0.0</v>
      </c>
      <c r="FC14" s="16">
        <v>0.0</v>
      </c>
      <c r="FD14" s="16">
        <v>0.0</v>
      </c>
      <c r="FE14" s="16">
        <v>0.0</v>
      </c>
      <c r="FF14" s="16">
        <v>0.0</v>
      </c>
      <c r="FG14" s="16">
        <v>0.0</v>
      </c>
      <c r="FH14" s="16">
        <v>0.0</v>
      </c>
      <c r="FI14" s="16">
        <v>0.0</v>
      </c>
      <c r="FJ14" s="16">
        <v>0.0</v>
      </c>
      <c r="FK14" s="16">
        <v>0.0</v>
      </c>
      <c r="FL14" s="16">
        <v>0.0</v>
      </c>
      <c r="FM14" s="16">
        <v>0.0</v>
      </c>
      <c r="FN14" s="16">
        <v>0.0</v>
      </c>
      <c r="FO14" s="16">
        <v>0.0</v>
      </c>
      <c r="FP14" s="16">
        <v>0.0</v>
      </c>
      <c r="FQ14" s="16">
        <v>0.0</v>
      </c>
      <c r="FR14" s="16">
        <v>0.0</v>
      </c>
      <c r="FS14" s="16">
        <v>0.0</v>
      </c>
      <c r="FT14" s="16">
        <v>0.0</v>
      </c>
      <c r="FU14" s="16">
        <v>0.0</v>
      </c>
      <c r="FV14" s="16">
        <v>0.0</v>
      </c>
      <c r="FW14" s="16">
        <v>0.0</v>
      </c>
    </row>
    <row r="15">
      <c r="A15" s="15" t="s">
        <v>209</v>
      </c>
      <c r="B15" s="16">
        <v>0.0</v>
      </c>
      <c r="C15" s="16">
        <v>0.0</v>
      </c>
      <c r="D15" s="16">
        <v>0.0</v>
      </c>
      <c r="E15" s="16">
        <v>0.0</v>
      </c>
      <c r="F15" s="16">
        <v>1.0</v>
      </c>
      <c r="G15" s="16">
        <v>1.0</v>
      </c>
      <c r="H15" s="16">
        <v>0.0</v>
      </c>
      <c r="I15" s="16">
        <v>0.0</v>
      </c>
      <c r="J15" s="16">
        <v>1.0</v>
      </c>
      <c r="K15" s="16">
        <v>1.0</v>
      </c>
      <c r="L15" s="16">
        <v>0.0</v>
      </c>
      <c r="M15" s="16">
        <v>0.0</v>
      </c>
      <c r="N15" s="16">
        <v>1.0</v>
      </c>
      <c r="O15" s="16">
        <v>0.0</v>
      </c>
      <c r="P15" s="16">
        <v>0.0</v>
      </c>
      <c r="Q15" s="16">
        <v>0.0</v>
      </c>
      <c r="R15" s="16">
        <v>1.0</v>
      </c>
      <c r="S15" s="16">
        <v>0.0</v>
      </c>
      <c r="T15" s="16">
        <v>0.0</v>
      </c>
      <c r="U15" s="16">
        <v>0.0</v>
      </c>
      <c r="V15" s="16">
        <v>0.0</v>
      </c>
      <c r="W15" s="16">
        <v>0.0</v>
      </c>
      <c r="X15" s="16">
        <v>1.0</v>
      </c>
      <c r="Y15" s="16">
        <v>0.0</v>
      </c>
      <c r="Z15" s="16">
        <v>0.0</v>
      </c>
      <c r="AA15" s="16">
        <v>0.0</v>
      </c>
      <c r="AB15" s="16">
        <v>3.0</v>
      </c>
      <c r="AC15" s="16">
        <v>2.0</v>
      </c>
      <c r="AD15" s="16">
        <v>2.0</v>
      </c>
      <c r="AE15" s="16">
        <v>1.0</v>
      </c>
      <c r="AF15" s="16">
        <v>0.0</v>
      </c>
      <c r="AG15" s="16">
        <v>0.0</v>
      </c>
      <c r="AH15" s="16">
        <v>3.0</v>
      </c>
      <c r="AI15" s="16">
        <v>2.0</v>
      </c>
      <c r="AJ15" s="16">
        <v>1.0</v>
      </c>
      <c r="AK15" s="16">
        <v>1.0</v>
      </c>
      <c r="AL15" s="16">
        <v>0.0</v>
      </c>
      <c r="AM15" s="16">
        <v>0.0</v>
      </c>
      <c r="AN15" s="16">
        <v>0.0</v>
      </c>
      <c r="AO15" s="16">
        <v>0.0</v>
      </c>
      <c r="AP15" s="16">
        <v>1.0</v>
      </c>
      <c r="AQ15" s="16">
        <v>1.0</v>
      </c>
      <c r="AR15" s="16">
        <v>1.0</v>
      </c>
      <c r="AS15" s="16">
        <v>1.0</v>
      </c>
      <c r="AT15" s="16">
        <v>0.0</v>
      </c>
      <c r="AU15" s="16">
        <v>0.0</v>
      </c>
      <c r="AV15" s="16">
        <v>4.0</v>
      </c>
      <c r="AW15" s="16">
        <v>3.0</v>
      </c>
      <c r="AX15" s="16">
        <v>1.0</v>
      </c>
      <c r="AY15" s="16">
        <v>0.0</v>
      </c>
      <c r="AZ15" s="16">
        <v>0.0</v>
      </c>
      <c r="BA15" s="16">
        <v>0.0</v>
      </c>
      <c r="BB15" s="16">
        <v>0.0</v>
      </c>
      <c r="BC15" s="16">
        <v>0.0</v>
      </c>
      <c r="BD15" s="16">
        <v>1.0</v>
      </c>
      <c r="BE15" s="16">
        <v>0.0</v>
      </c>
      <c r="BF15" s="16">
        <v>0.0</v>
      </c>
      <c r="BG15" s="16">
        <v>0.0</v>
      </c>
      <c r="BH15" s="16">
        <v>0.0</v>
      </c>
      <c r="BI15" s="16">
        <v>0.0</v>
      </c>
      <c r="BJ15" s="16">
        <v>0.0</v>
      </c>
      <c r="BK15" s="16">
        <v>0.0</v>
      </c>
      <c r="BL15" s="16">
        <v>1.0</v>
      </c>
      <c r="BM15" s="16">
        <v>1.0</v>
      </c>
      <c r="BN15" s="16">
        <v>0.0</v>
      </c>
      <c r="BO15" s="16">
        <v>0.0</v>
      </c>
      <c r="BP15" s="16">
        <v>0.0</v>
      </c>
      <c r="BQ15" s="16">
        <v>0.0</v>
      </c>
      <c r="BR15" s="16">
        <v>0.0</v>
      </c>
      <c r="BS15" s="16">
        <v>0.0</v>
      </c>
      <c r="BT15" s="16">
        <v>0.0</v>
      </c>
      <c r="BU15" s="16">
        <v>0.0</v>
      </c>
      <c r="BV15" s="16">
        <v>0.0</v>
      </c>
      <c r="BW15" s="16">
        <v>0.0</v>
      </c>
      <c r="BX15" s="16">
        <v>0.0</v>
      </c>
      <c r="BY15" s="16">
        <v>0.0</v>
      </c>
      <c r="BZ15" s="16">
        <v>0.0</v>
      </c>
      <c r="CA15" s="16">
        <v>0.0</v>
      </c>
      <c r="CB15" s="16">
        <v>0.0</v>
      </c>
      <c r="CC15" s="16">
        <v>0.0</v>
      </c>
      <c r="CD15" s="16">
        <v>0.0</v>
      </c>
      <c r="CE15" s="16">
        <v>0.0</v>
      </c>
      <c r="CF15" s="16">
        <v>0.0</v>
      </c>
      <c r="CG15" s="16">
        <v>0.0</v>
      </c>
      <c r="CH15" s="16">
        <v>0.0</v>
      </c>
      <c r="CI15" s="16">
        <v>0.0</v>
      </c>
      <c r="CJ15" s="16">
        <v>1.0</v>
      </c>
      <c r="CK15" s="16">
        <v>1.0</v>
      </c>
      <c r="CL15" s="16">
        <v>0.0</v>
      </c>
      <c r="CM15" s="16">
        <v>0.0</v>
      </c>
      <c r="CN15" s="16">
        <v>0.0</v>
      </c>
      <c r="CO15" s="16">
        <v>0.0</v>
      </c>
      <c r="CP15" s="16">
        <v>0.0</v>
      </c>
      <c r="CQ15" s="16">
        <v>0.0</v>
      </c>
      <c r="CR15" s="16">
        <v>0.0</v>
      </c>
      <c r="CS15" s="16">
        <v>0.0</v>
      </c>
      <c r="CT15" s="16">
        <v>1.0</v>
      </c>
      <c r="CU15" s="16">
        <v>0.0</v>
      </c>
      <c r="CV15" s="16">
        <v>0.0</v>
      </c>
      <c r="CW15" s="16">
        <v>0.0</v>
      </c>
      <c r="CX15" s="16">
        <v>1.0</v>
      </c>
      <c r="CY15" s="16">
        <v>0.0</v>
      </c>
      <c r="CZ15" s="16">
        <v>1.0</v>
      </c>
      <c r="DA15" s="16">
        <v>1.0</v>
      </c>
      <c r="DB15" s="16">
        <v>1.0</v>
      </c>
      <c r="DC15" s="16">
        <v>1.0</v>
      </c>
      <c r="DD15" s="16">
        <v>0.0</v>
      </c>
      <c r="DE15" s="16">
        <v>0.0</v>
      </c>
      <c r="DF15" s="16">
        <v>0.0</v>
      </c>
      <c r="DG15" s="16">
        <v>0.0</v>
      </c>
      <c r="DH15" s="16">
        <v>1.0</v>
      </c>
      <c r="DI15" s="16">
        <v>0.0</v>
      </c>
      <c r="DJ15" s="16">
        <v>0.0</v>
      </c>
      <c r="DK15" s="16">
        <v>0.0</v>
      </c>
      <c r="DL15" s="16">
        <v>0.0</v>
      </c>
      <c r="DM15" s="16">
        <v>0.0</v>
      </c>
      <c r="DN15" s="16">
        <v>0.0</v>
      </c>
      <c r="DO15" s="16">
        <v>0.0</v>
      </c>
      <c r="DP15" s="16">
        <v>0.0</v>
      </c>
      <c r="DQ15" s="16">
        <v>0.0</v>
      </c>
      <c r="DR15" s="16">
        <v>0.0</v>
      </c>
      <c r="DS15" s="16">
        <v>0.0</v>
      </c>
      <c r="DT15" s="16">
        <v>0.0</v>
      </c>
      <c r="DU15" s="16">
        <v>0.0</v>
      </c>
      <c r="DV15" s="16">
        <v>0.0</v>
      </c>
      <c r="DW15" s="16">
        <v>0.0</v>
      </c>
      <c r="DX15" s="16">
        <v>0.0</v>
      </c>
      <c r="DY15" s="16">
        <v>0.0</v>
      </c>
      <c r="DZ15" s="16">
        <v>0.0</v>
      </c>
      <c r="EA15" s="16">
        <v>0.0</v>
      </c>
      <c r="EB15" s="16">
        <v>0.0</v>
      </c>
      <c r="EC15" s="16">
        <v>0.0</v>
      </c>
      <c r="ED15" s="16">
        <v>0.0</v>
      </c>
      <c r="EE15" s="16">
        <v>0.0</v>
      </c>
      <c r="EF15" s="16">
        <v>0.0</v>
      </c>
      <c r="EG15" s="16">
        <v>0.0</v>
      </c>
      <c r="EH15" s="16">
        <v>0.0</v>
      </c>
      <c r="EI15" s="16">
        <v>0.0</v>
      </c>
      <c r="EJ15" s="16">
        <v>0.0</v>
      </c>
      <c r="EK15" s="16">
        <v>0.0</v>
      </c>
      <c r="EL15" s="16">
        <v>0.0</v>
      </c>
      <c r="EM15" s="16">
        <v>0.0</v>
      </c>
      <c r="EN15" s="16">
        <v>0.0</v>
      </c>
      <c r="EO15" s="16">
        <v>0.0</v>
      </c>
      <c r="EP15" s="16">
        <v>0.0</v>
      </c>
      <c r="EQ15" s="16">
        <v>0.0</v>
      </c>
      <c r="ER15" s="16">
        <v>0.0</v>
      </c>
      <c r="ES15" s="16">
        <v>0.0</v>
      </c>
      <c r="ET15" s="16">
        <v>0.0</v>
      </c>
      <c r="EU15" s="16">
        <v>0.0</v>
      </c>
      <c r="EV15" s="16">
        <v>0.0</v>
      </c>
      <c r="EW15" s="16">
        <v>0.0</v>
      </c>
      <c r="EX15" s="16">
        <v>0.0</v>
      </c>
      <c r="EY15" s="16">
        <v>0.0</v>
      </c>
      <c r="EZ15" s="16">
        <v>0.0</v>
      </c>
      <c r="FA15" s="16">
        <v>0.0</v>
      </c>
      <c r="FB15" s="16">
        <v>0.0</v>
      </c>
      <c r="FC15" s="16">
        <v>0.0</v>
      </c>
      <c r="FD15" s="16">
        <v>0.0</v>
      </c>
      <c r="FE15" s="16">
        <v>0.0</v>
      </c>
      <c r="FF15" s="16">
        <v>0.0</v>
      </c>
      <c r="FG15" s="16">
        <v>0.0</v>
      </c>
      <c r="FH15" s="16">
        <v>0.0</v>
      </c>
      <c r="FI15" s="16">
        <v>0.0</v>
      </c>
      <c r="FJ15" s="16">
        <v>0.0</v>
      </c>
      <c r="FK15" s="16">
        <v>0.0</v>
      </c>
      <c r="FL15" s="16">
        <v>0.0</v>
      </c>
      <c r="FM15" s="16">
        <v>0.0</v>
      </c>
      <c r="FN15" s="16">
        <v>0.0</v>
      </c>
      <c r="FO15" s="16">
        <v>0.0</v>
      </c>
      <c r="FP15" s="16">
        <v>0.0</v>
      </c>
      <c r="FQ15" s="16">
        <v>0.0</v>
      </c>
      <c r="FR15" s="16">
        <v>0.0</v>
      </c>
      <c r="FS15" s="16">
        <v>0.0</v>
      </c>
      <c r="FT15" s="16">
        <v>0.0</v>
      </c>
      <c r="FU15" s="16">
        <v>0.0</v>
      </c>
      <c r="FV15" s="16">
        <v>0.0</v>
      </c>
      <c r="FW15" s="16">
        <v>0.0</v>
      </c>
    </row>
    <row r="16">
      <c r="A16" s="15" t="s">
        <v>210</v>
      </c>
      <c r="B16" s="16">
        <v>0.0</v>
      </c>
      <c r="C16" s="16">
        <v>0.0</v>
      </c>
      <c r="D16" s="16">
        <v>0.0</v>
      </c>
      <c r="E16" s="16">
        <v>0.0</v>
      </c>
      <c r="F16" s="16">
        <v>3.0</v>
      </c>
      <c r="G16" s="16">
        <v>2.0</v>
      </c>
      <c r="H16" s="16">
        <v>0.0</v>
      </c>
      <c r="I16" s="16">
        <v>0.0</v>
      </c>
      <c r="J16" s="16">
        <v>0.0</v>
      </c>
      <c r="K16" s="16">
        <v>0.0</v>
      </c>
      <c r="L16" s="16">
        <v>0.0</v>
      </c>
      <c r="M16" s="16">
        <v>0.0</v>
      </c>
      <c r="N16" s="16">
        <v>0.0</v>
      </c>
      <c r="O16" s="16">
        <v>0.0</v>
      </c>
      <c r="P16" s="16">
        <v>0.0</v>
      </c>
      <c r="Q16" s="16">
        <v>0.0</v>
      </c>
      <c r="R16" s="16">
        <v>1.0</v>
      </c>
      <c r="S16" s="16">
        <v>0.0</v>
      </c>
      <c r="T16" s="16">
        <v>0.0</v>
      </c>
      <c r="U16" s="16">
        <v>0.0</v>
      </c>
      <c r="V16" s="16">
        <v>1.0</v>
      </c>
      <c r="W16" s="16">
        <v>1.0</v>
      </c>
      <c r="X16" s="16">
        <v>3.0</v>
      </c>
      <c r="Y16" s="16">
        <v>2.0</v>
      </c>
      <c r="Z16" s="16">
        <v>1.0</v>
      </c>
      <c r="AA16" s="16">
        <v>0.0</v>
      </c>
      <c r="AB16" s="16">
        <v>0.0</v>
      </c>
      <c r="AC16" s="16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1.0</v>
      </c>
      <c r="AI16" s="16">
        <v>0.0</v>
      </c>
      <c r="AJ16" s="16">
        <v>0.0</v>
      </c>
      <c r="AK16" s="16">
        <v>0.0</v>
      </c>
      <c r="AL16" s="16">
        <v>0.0</v>
      </c>
      <c r="AM16" s="16">
        <v>0.0</v>
      </c>
      <c r="AN16" s="16">
        <v>0.0</v>
      </c>
      <c r="AO16" s="16">
        <v>0.0</v>
      </c>
      <c r="AP16" s="16">
        <v>1.0</v>
      </c>
      <c r="AQ16" s="16">
        <v>1.0</v>
      </c>
      <c r="AR16" s="16">
        <v>0.0</v>
      </c>
      <c r="AS16" s="16">
        <v>0.0</v>
      </c>
      <c r="AT16" s="16">
        <v>0.0</v>
      </c>
      <c r="AU16" s="16">
        <v>0.0</v>
      </c>
      <c r="AV16" s="16">
        <v>1.0</v>
      </c>
      <c r="AW16" s="16">
        <v>0.0</v>
      </c>
      <c r="AX16" s="16">
        <v>0.0</v>
      </c>
      <c r="AY16" s="16">
        <v>0.0</v>
      </c>
      <c r="AZ16" s="16">
        <v>0.0</v>
      </c>
      <c r="BA16" s="16">
        <v>0.0</v>
      </c>
      <c r="BB16" s="16">
        <v>0.0</v>
      </c>
      <c r="BC16" s="16">
        <v>0.0</v>
      </c>
      <c r="BD16" s="16">
        <v>1.0</v>
      </c>
      <c r="BE16" s="16">
        <v>0.0</v>
      </c>
      <c r="BF16" s="16">
        <v>0.0</v>
      </c>
      <c r="BG16" s="16">
        <v>0.0</v>
      </c>
      <c r="BH16" s="16">
        <v>0.0</v>
      </c>
      <c r="BI16" s="16">
        <v>0.0</v>
      </c>
      <c r="BJ16" s="16">
        <v>0.0</v>
      </c>
      <c r="BK16" s="16">
        <v>0.0</v>
      </c>
      <c r="BL16" s="16">
        <v>0.0</v>
      </c>
      <c r="BM16" s="16">
        <v>0.0</v>
      </c>
      <c r="BN16" s="16">
        <v>1.0</v>
      </c>
      <c r="BO16" s="16">
        <v>1.0</v>
      </c>
      <c r="BP16" s="16">
        <v>0.0</v>
      </c>
      <c r="BQ16" s="16">
        <v>0.0</v>
      </c>
      <c r="BR16" s="16">
        <v>0.0</v>
      </c>
      <c r="BS16" s="16">
        <v>0.0</v>
      </c>
      <c r="BT16" s="16">
        <v>0.0</v>
      </c>
      <c r="BU16" s="16">
        <v>0.0</v>
      </c>
      <c r="BV16" s="16">
        <v>0.0</v>
      </c>
      <c r="BW16" s="16">
        <v>0.0</v>
      </c>
      <c r="BX16" s="16">
        <v>0.0</v>
      </c>
      <c r="BY16" s="16">
        <v>0.0</v>
      </c>
      <c r="BZ16" s="16">
        <v>0.0</v>
      </c>
      <c r="CA16" s="16">
        <v>0.0</v>
      </c>
      <c r="CB16" s="16">
        <v>0.0</v>
      </c>
      <c r="CC16" s="16">
        <v>0.0</v>
      </c>
      <c r="CD16" s="16">
        <v>1.0</v>
      </c>
      <c r="CE16" s="16">
        <v>1.0</v>
      </c>
      <c r="CF16" s="16">
        <v>0.0</v>
      </c>
      <c r="CG16" s="16">
        <v>0.0</v>
      </c>
      <c r="CH16" s="16">
        <v>0.0</v>
      </c>
      <c r="CI16" s="16">
        <v>0.0</v>
      </c>
      <c r="CJ16" s="16">
        <v>0.0</v>
      </c>
      <c r="CK16" s="16">
        <v>0.0</v>
      </c>
      <c r="CL16" s="16">
        <v>0.0</v>
      </c>
      <c r="CM16" s="16">
        <v>0.0</v>
      </c>
      <c r="CN16" s="16">
        <v>1.0</v>
      </c>
      <c r="CO16" s="16">
        <v>0.0</v>
      </c>
      <c r="CP16" s="16">
        <v>1.0</v>
      </c>
      <c r="CQ16" s="16">
        <v>0.0</v>
      </c>
      <c r="CR16" s="16">
        <v>0.0</v>
      </c>
      <c r="CS16" s="16">
        <v>0.0</v>
      </c>
      <c r="CT16" s="16">
        <v>1.0</v>
      </c>
      <c r="CU16" s="16">
        <v>0.0</v>
      </c>
      <c r="CV16" s="16">
        <v>2.0</v>
      </c>
      <c r="CW16" s="16">
        <v>1.0</v>
      </c>
      <c r="CX16" s="16">
        <v>1.0</v>
      </c>
      <c r="CY16" s="16">
        <v>0.0</v>
      </c>
      <c r="CZ16" s="16">
        <v>0.0</v>
      </c>
      <c r="DA16" s="16">
        <v>0.0</v>
      </c>
      <c r="DB16" s="16">
        <v>0.0</v>
      </c>
      <c r="DC16" s="16">
        <v>0.0</v>
      </c>
      <c r="DD16" s="16">
        <v>0.0</v>
      </c>
      <c r="DE16" s="16">
        <v>0.0</v>
      </c>
      <c r="DF16" s="16">
        <v>0.0</v>
      </c>
      <c r="DG16" s="16">
        <v>0.0</v>
      </c>
      <c r="DH16" s="16">
        <v>1.0</v>
      </c>
      <c r="DI16" s="16">
        <v>0.0</v>
      </c>
      <c r="DJ16" s="16">
        <v>0.0</v>
      </c>
      <c r="DK16" s="16">
        <v>0.0</v>
      </c>
      <c r="DL16" s="16">
        <v>0.0</v>
      </c>
      <c r="DM16" s="16">
        <v>0.0</v>
      </c>
      <c r="DN16" s="16">
        <v>0.0</v>
      </c>
      <c r="DO16" s="16">
        <v>0.0</v>
      </c>
      <c r="DP16" s="16">
        <v>0.0</v>
      </c>
      <c r="DQ16" s="16">
        <v>0.0</v>
      </c>
      <c r="DR16" s="16">
        <v>1.0</v>
      </c>
      <c r="DS16" s="16">
        <v>1.0</v>
      </c>
      <c r="DT16" s="16">
        <v>0.0</v>
      </c>
      <c r="DU16" s="16">
        <v>0.0</v>
      </c>
      <c r="DV16" s="16">
        <v>0.0</v>
      </c>
      <c r="DW16" s="16">
        <v>0.0</v>
      </c>
      <c r="DX16" s="16">
        <v>0.0</v>
      </c>
      <c r="DY16" s="16">
        <v>0.0</v>
      </c>
      <c r="DZ16" s="16">
        <v>0.0</v>
      </c>
      <c r="EA16" s="16">
        <v>0.0</v>
      </c>
      <c r="EB16" s="16">
        <v>0.0</v>
      </c>
      <c r="EC16" s="16">
        <v>0.0</v>
      </c>
      <c r="ED16" s="16">
        <v>0.0</v>
      </c>
      <c r="EE16" s="16">
        <v>0.0</v>
      </c>
      <c r="EF16" s="16">
        <v>0.0</v>
      </c>
      <c r="EG16" s="16">
        <v>0.0</v>
      </c>
      <c r="EH16" s="16">
        <v>0.0</v>
      </c>
      <c r="EI16" s="16">
        <v>0.0</v>
      </c>
      <c r="EJ16" s="16">
        <v>0.0</v>
      </c>
      <c r="EK16" s="16">
        <v>0.0</v>
      </c>
      <c r="EL16" s="16">
        <v>0.0</v>
      </c>
      <c r="EM16" s="16">
        <v>0.0</v>
      </c>
      <c r="EN16" s="16">
        <v>0.0</v>
      </c>
      <c r="EO16" s="16">
        <v>0.0</v>
      </c>
      <c r="EP16" s="16">
        <v>0.0</v>
      </c>
      <c r="EQ16" s="16">
        <v>0.0</v>
      </c>
      <c r="ER16" s="16">
        <v>0.0</v>
      </c>
      <c r="ES16" s="16">
        <v>0.0</v>
      </c>
      <c r="ET16" s="16">
        <v>0.0</v>
      </c>
      <c r="EU16" s="16">
        <v>0.0</v>
      </c>
      <c r="EV16" s="16">
        <v>0.0</v>
      </c>
      <c r="EW16" s="16">
        <v>0.0</v>
      </c>
      <c r="EX16" s="16">
        <v>0.0</v>
      </c>
      <c r="EY16" s="16">
        <v>0.0</v>
      </c>
      <c r="EZ16" s="16">
        <v>1.0</v>
      </c>
      <c r="FA16" s="16">
        <v>1.0</v>
      </c>
      <c r="FB16" s="16">
        <v>0.0</v>
      </c>
      <c r="FC16" s="16">
        <v>0.0</v>
      </c>
      <c r="FD16" s="16">
        <v>0.0</v>
      </c>
      <c r="FE16" s="16">
        <v>0.0</v>
      </c>
      <c r="FF16" s="16">
        <v>0.0</v>
      </c>
      <c r="FG16" s="16">
        <v>0.0</v>
      </c>
      <c r="FH16" s="16">
        <v>0.0</v>
      </c>
      <c r="FI16" s="16">
        <v>0.0</v>
      </c>
      <c r="FJ16" s="16">
        <v>0.0</v>
      </c>
      <c r="FK16" s="16">
        <v>0.0</v>
      </c>
      <c r="FL16" s="16">
        <v>0.0</v>
      </c>
      <c r="FM16" s="16">
        <v>0.0</v>
      </c>
      <c r="FN16" s="16">
        <v>1.0</v>
      </c>
      <c r="FO16" s="16">
        <v>0.0</v>
      </c>
      <c r="FP16" s="16">
        <v>0.0</v>
      </c>
      <c r="FQ16" s="16">
        <v>0.0</v>
      </c>
      <c r="FR16" s="16">
        <v>0.0</v>
      </c>
      <c r="FS16" s="16">
        <v>0.0</v>
      </c>
      <c r="FT16" s="16">
        <v>1.0</v>
      </c>
      <c r="FU16" s="16">
        <v>1.0</v>
      </c>
      <c r="FV16" s="16">
        <v>0.0</v>
      </c>
      <c r="FW16" s="16">
        <v>0.0</v>
      </c>
    </row>
    <row r="17">
      <c r="A17" s="15" t="s">
        <v>211</v>
      </c>
      <c r="B17" s="16">
        <v>0.0</v>
      </c>
      <c r="C17" s="16">
        <v>0.0</v>
      </c>
      <c r="D17" s="16">
        <v>1.0</v>
      </c>
      <c r="E17" s="16">
        <v>0.0</v>
      </c>
      <c r="F17" s="16">
        <v>2.0</v>
      </c>
      <c r="G17" s="16">
        <v>0.0</v>
      </c>
      <c r="H17" s="16">
        <v>0.0</v>
      </c>
      <c r="I17" s="16">
        <v>0.0</v>
      </c>
      <c r="J17" s="16">
        <v>0.0</v>
      </c>
      <c r="K17" s="16">
        <v>0.0</v>
      </c>
      <c r="L17" s="16">
        <v>3.0</v>
      </c>
      <c r="M17" s="16">
        <v>0.0</v>
      </c>
      <c r="N17" s="16">
        <v>0.0</v>
      </c>
      <c r="O17" s="16">
        <v>0.0</v>
      </c>
      <c r="P17" s="16">
        <v>0.0</v>
      </c>
      <c r="Q17" s="16">
        <v>0.0</v>
      </c>
      <c r="R17" s="16">
        <v>4.0</v>
      </c>
      <c r="S17" s="16">
        <v>2.0</v>
      </c>
      <c r="T17" s="16">
        <v>0.0</v>
      </c>
      <c r="U17" s="16">
        <v>0.0</v>
      </c>
      <c r="V17" s="16">
        <v>0.0</v>
      </c>
      <c r="W17" s="16">
        <v>0.0</v>
      </c>
      <c r="X17" s="16">
        <v>1.0</v>
      </c>
      <c r="Y17" s="16">
        <v>0.0</v>
      </c>
      <c r="Z17" s="16">
        <v>1.0</v>
      </c>
      <c r="AA17" s="16">
        <v>1.0</v>
      </c>
      <c r="AB17" s="16">
        <v>0.0</v>
      </c>
      <c r="AC17" s="16">
        <v>0.0</v>
      </c>
      <c r="AD17" s="16">
        <v>0.0</v>
      </c>
      <c r="AE17" s="16">
        <v>0.0</v>
      </c>
      <c r="AF17" s="16">
        <v>0.0</v>
      </c>
      <c r="AG17" s="16">
        <v>0.0</v>
      </c>
      <c r="AH17" s="16">
        <v>2.0</v>
      </c>
      <c r="AI17" s="16">
        <v>0.0</v>
      </c>
      <c r="AJ17" s="16">
        <v>0.0</v>
      </c>
      <c r="AK17" s="16">
        <v>0.0</v>
      </c>
      <c r="AL17" s="16">
        <v>0.0</v>
      </c>
      <c r="AM17" s="16">
        <v>0.0</v>
      </c>
      <c r="AN17" s="16">
        <v>0.0</v>
      </c>
      <c r="AO17" s="16">
        <v>0.0</v>
      </c>
      <c r="AP17" s="16">
        <v>1.0</v>
      </c>
      <c r="AQ17" s="16">
        <v>1.0</v>
      </c>
      <c r="AR17" s="16">
        <v>0.0</v>
      </c>
      <c r="AS17" s="16">
        <v>0.0</v>
      </c>
      <c r="AT17" s="16">
        <v>0.0</v>
      </c>
      <c r="AU17" s="16">
        <v>0.0</v>
      </c>
      <c r="AV17" s="16">
        <v>5.0</v>
      </c>
      <c r="AW17" s="16">
        <v>0.0</v>
      </c>
      <c r="AX17" s="16">
        <v>0.0</v>
      </c>
      <c r="AY17" s="16">
        <v>0.0</v>
      </c>
      <c r="AZ17" s="16">
        <v>1.0</v>
      </c>
      <c r="BA17" s="16">
        <v>1.0</v>
      </c>
      <c r="BB17" s="16">
        <v>0.0</v>
      </c>
      <c r="BC17" s="16">
        <v>0.0</v>
      </c>
      <c r="BD17" s="16">
        <v>1.0</v>
      </c>
      <c r="BE17" s="16">
        <v>0.0</v>
      </c>
      <c r="BF17" s="16">
        <v>0.0</v>
      </c>
      <c r="BG17" s="16">
        <v>0.0</v>
      </c>
      <c r="BH17" s="16">
        <v>0.0</v>
      </c>
      <c r="BI17" s="16">
        <v>0.0</v>
      </c>
      <c r="BJ17" s="16">
        <v>0.0</v>
      </c>
      <c r="BK17" s="16">
        <v>0.0</v>
      </c>
      <c r="BL17" s="16">
        <v>2.0</v>
      </c>
      <c r="BM17" s="16">
        <v>0.0</v>
      </c>
      <c r="BN17" s="16">
        <v>0.0</v>
      </c>
      <c r="BO17" s="16">
        <v>0.0</v>
      </c>
      <c r="BP17" s="16">
        <v>0.0</v>
      </c>
      <c r="BQ17" s="16">
        <v>0.0</v>
      </c>
      <c r="BR17" s="16">
        <v>0.0</v>
      </c>
      <c r="BS17" s="16">
        <v>0.0</v>
      </c>
      <c r="BT17" s="16">
        <v>0.0</v>
      </c>
      <c r="BU17" s="16">
        <v>0.0</v>
      </c>
      <c r="BV17" s="16">
        <v>0.0</v>
      </c>
      <c r="BW17" s="16">
        <v>0.0</v>
      </c>
      <c r="BX17" s="16">
        <v>0.0</v>
      </c>
      <c r="BY17" s="16">
        <v>0.0</v>
      </c>
      <c r="BZ17" s="16">
        <v>0.0</v>
      </c>
      <c r="CA17" s="16">
        <v>0.0</v>
      </c>
      <c r="CB17" s="16">
        <v>0.0</v>
      </c>
      <c r="CC17" s="16">
        <v>0.0</v>
      </c>
      <c r="CD17" s="16">
        <v>0.0</v>
      </c>
      <c r="CE17" s="16">
        <v>0.0</v>
      </c>
      <c r="CF17" s="16">
        <v>0.0</v>
      </c>
      <c r="CG17" s="16">
        <v>0.0</v>
      </c>
      <c r="CH17" s="16">
        <v>1.0</v>
      </c>
      <c r="CI17" s="16">
        <v>0.0</v>
      </c>
      <c r="CJ17" s="16">
        <v>1.0</v>
      </c>
      <c r="CK17" s="16">
        <v>0.0</v>
      </c>
      <c r="CL17" s="16">
        <v>0.0</v>
      </c>
      <c r="CM17" s="16">
        <v>0.0</v>
      </c>
      <c r="CN17" s="16">
        <v>0.0</v>
      </c>
      <c r="CO17" s="16">
        <v>0.0</v>
      </c>
      <c r="CP17" s="16">
        <v>0.0</v>
      </c>
      <c r="CQ17" s="16">
        <v>0.0</v>
      </c>
      <c r="CR17" s="16">
        <v>0.0</v>
      </c>
      <c r="CS17" s="16">
        <v>0.0</v>
      </c>
      <c r="CT17" s="16">
        <v>1.0</v>
      </c>
      <c r="CU17" s="16">
        <v>0.0</v>
      </c>
      <c r="CV17" s="16">
        <v>1.0</v>
      </c>
      <c r="CW17" s="16">
        <v>0.0</v>
      </c>
      <c r="CX17" s="16">
        <v>0.0</v>
      </c>
      <c r="CY17" s="16">
        <v>0.0</v>
      </c>
      <c r="CZ17" s="16">
        <v>0.0</v>
      </c>
      <c r="DA17" s="16">
        <v>0.0</v>
      </c>
      <c r="DB17" s="16">
        <v>0.0</v>
      </c>
      <c r="DC17" s="16">
        <v>0.0</v>
      </c>
      <c r="DD17" s="16">
        <v>0.0</v>
      </c>
      <c r="DE17" s="16">
        <v>0.0</v>
      </c>
      <c r="DF17" s="16">
        <v>0.0</v>
      </c>
      <c r="DG17" s="16">
        <v>0.0</v>
      </c>
      <c r="DH17" s="16">
        <v>1.0</v>
      </c>
      <c r="DI17" s="16">
        <v>0.0</v>
      </c>
      <c r="DJ17" s="16">
        <v>0.0</v>
      </c>
      <c r="DK17" s="16">
        <v>0.0</v>
      </c>
      <c r="DL17" s="16">
        <v>0.0</v>
      </c>
      <c r="DM17" s="16">
        <v>0.0</v>
      </c>
      <c r="DN17" s="16">
        <v>0.0</v>
      </c>
      <c r="DO17" s="16">
        <v>0.0</v>
      </c>
      <c r="DP17" s="16">
        <v>0.0</v>
      </c>
      <c r="DQ17" s="16">
        <v>0.0</v>
      </c>
      <c r="DR17" s="16">
        <v>0.0</v>
      </c>
      <c r="DS17" s="16">
        <v>0.0</v>
      </c>
      <c r="DT17" s="16">
        <v>0.0</v>
      </c>
      <c r="DU17" s="16">
        <v>0.0</v>
      </c>
      <c r="DV17" s="16">
        <v>0.0</v>
      </c>
      <c r="DW17" s="16">
        <v>0.0</v>
      </c>
      <c r="DX17" s="16">
        <v>0.0</v>
      </c>
      <c r="DY17" s="16">
        <v>0.0</v>
      </c>
      <c r="DZ17" s="16">
        <v>0.0</v>
      </c>
      <c r="EA17" s="16">
        <v>0.0</v>
      </c>
      <c r="EB17" s="16">
        <v>0.0</v>
      </c>
      <c r="EC17" s="16">
        <v>0.0</v>
      </c>
      <c r="ED17" s="16">
        <v>0.0</v>
      </c>
      <c r="EE17" s="16">
        <v>0.0</v>
      </c>
      <c r="EF17" s="16">
        <v>0.0</v>
      </c>
      <c r="EG17" s="16">
        <v>0.0</v>
      </c>
      <c r="EH17" s="16">
        <v>0.0</v>
      </c>
      <c r="EI17" s="16">
        <v>0.0</v>
      </c>
      <c r="EJ17" s="16">
        <v>0.0</v>
      </c>
      <c r="EK17" s="16">
        <v>0.0</v>
      </c>
      <c r="EL17" s="16">
        <v>0.0</v>
      </c>
      <c r="EM17" s="16">
        <v>0.0</v>
      </c>
      <c r="EN17" s="16">
        <v>0.0</v>
      </c>
      <c r="EO17" s="16">
        <v>0.0</v>
      </c>
      <c r="EP17" s="16">
        <v>0.0</v>
      </c>
      <c r="EQ17" s="16">
        <v>0.0</v>
      </c>
      <c r="ER17" s="16">
        <v>0.0</v>
      </c>
      <c r="ES17" s="16">
        <v>0.0</v>
      </c>
      <c r="ET17" s="16">
        <v>0.0</v>
      </c>
      <c r="EU17" s="16">
        <v>0.0</v>
      </c>
      <c r="EV17" s="16">
        <v>0.0</v>
      </c>
      <c r="EW17" s="16">
        <v>0.0</v>
      </c>
      <c r="EX17" s="16">
        <v>0.0</v>
      </c>
      <c r="EY17" s="16">
        <v>0.0</v>
      </c>
      <c r="EZ17" s="16">
        <v>0.0</v>
      </c>
      <c r="FA17" s="16">
        <v>0.0</v>
      </c>
      <c r="FB17" s="16">
        <v>0.0</v>
      </c>
      <c r="FC17" s="16">
        <v>0.0</v>
      </c>
      <c r="FD17" s="16">
        <v>0.0</v>
      </c>
      <c r="FE17" s="16">
        <v>0.0</v>
      </c>
      <c r="FF17" s="16">
        <v>0.0</v>
      </c>
      <c r="FG17" s="16">
        <v>0.0</v>
      </c>
      <c r="FH17" s="16">
        <v>0.0</v>
      </c>
      <c r="FI17" s="16">
        <v>0.0</v>
      </c>
      <c r="FJ17" s="16">
        <v>0.0</v>
      </c>
      <c r="FK17" s="16">
        <v>0.0</v>
      </c>
      <c r="FL17" s="16">
        <v>0.0</v>
      </c>
      <c r="FM17" s="16">
        <v>0.0</v>
      </c>
      <c r="FN17" s="16">
        <v>0.0</v>
      </c>
      <c r="FO17" s="16">
        <v>0.0</v>
      </c>
      <c r="FP17" s="16">
        <v>0.0</v>
      </c>
      <c r="FQ17" s="16">
        <v>0.0</v>
      </c>
      <c r="FR17" s="16">
        <v>0.0</v>
      </c>
      <c r="FS17" s="16">
        <v>0.0</v>
      </c>
      <c r="FT17" s="16">
        <v>0.0</v>
      </c>
      <c r="FU17" s="16">
        <v>0.0</v>
      </c>
      <c r="FV17" s="16">
        <v>0.0</v>
      </c>
      <c r="FW17" s="16">
        <v>0.0</v>
      </c>
    </row>
    <row r="18">
      <c r="A18" s="15" t="s">
        <v>212</v>
      </c>
      <c r="B18" s="16">
        <v>0.0</v>
      </c>
      <c r="C18" s="16">
        <v>0.0</v>
      </c>
      <c r="D18" s="16">
        <v>1.0</v>
      </c>
      <c r="E18" s="16">
        <v>0.0</v>
      </c>
      <c r="F18" s="16">
        <v>0.0</v>
      </c>
      <c r="G18" s="16">
        <v>0.0</v>
      </c>
      <c r="H18" s="16">
        <v>0.0</v>
      </c>
      <c r="I18" s="16">
        <v>0.0</v>
      </c>
      <c r="J18" s="16">
        <v>0.0</v>
      </c>
      <c r="K18" s="16">
        <v>0.0</v>
      </c>
      <c r="L18" s="16">
        <v>0.0</v>
      </c>
      <c r="M18" s="16">
        <v>0.0</v>
      </c>
      <c r="N18" s="16">
        <v>0.0</v>
      </c>
      <c r="O18" s="16">
        <v>0.0</v>
      </c>
      <c r="P18" s="16">
        <v>0.0</v>
      </c>
      <c r="Q18" s="16">
        <v>0.0</v>
      </c>
      <c r="R18" s="16">
        <v>2.0</v>
      </c>
      <c r="S18" s="16">
        <v>0.0</v>
      </c>
      <c r="T18" s="16">
        <v>1.0</v>
      </c>
      <c r="U18" s="16">
        <v>1.0</v>
      </c>
      <c r="V18" s="16">
        <v>2.0</v>
      </c>
      <c r="W18" s="16">
        <v>1.0</v>
      </c>
      <c r="X18" s="16">
        <v>0.0</v>
      </c>
      <c r="Y18" s="16">
        <v>0.0</v>
      </c>
      <c r="Z18" s="16">
        <v>1.0</v>
      </c>
      <c r="AA18" s="16">
        <v>0.0</v>
      </c>
      <c r="AB18" s="16">
        <v>3.0</v>
      </c>
      <c r="AC18" s="16">
        <v>1.0</v>
      </c>
      <c r="AD18" s="16">
        <v>0.0</v>
      </c>
      <c r="AE18" s="16">
        <v>0.0</v>
      </c>
      <c r="AF18" s="16">
        <v>0.0</v>
      </c>
      <c r="AG18" s="16">
        <v>0.0</v>
      </c>
      <c r="AH18" s="16">
        <v>0.0</v>
      </c>
      <c r="AI18" s="16">
        <v>0.0</v>
      </c>
      <c r="AJ18" s="16">
        <v>0.0</v>
      </c>
      <c r="AK18" s="16">
        <v>0.0</v>
      </c>
      <c r="AL18" s="16">
        <v>0.0</v>
      </c>
      <c r="AM18" s="16">
        <v>0.0</v>
      </c>
      <c r="AN18" s="16">
        <v>0.0</v>
      </c>
      <c r="AO18" s="16">
        <v>0.0</v>
      </c>
      <c r="AP18" s="16">
        <v>0.0</v>
      </c>
      <c r="AQ18" s="16">
        <v>0.0</v>
      </c>
      <c r="AR18" s="16">
        <v>0.0</v>
      </c>
      <c r="AS18" s="16">
        <v>0.0</v>
      </c>
      <c r="AT18" s="16">
        <v>0.0</v>
      </c>
      <c r="AU18" s="16">
        <v>0.0</v>
      </c>
      <c r="AV18" s="16">
        <v>6.0</v>
      </c>
      <c r="AW18" s="16">
        <v>3.0</v>
      </c>
      <c r="AX18" s="16">
        <v>0.0</v>
      </c>
      <c r="AY18" s="16">
        <v>0.0</v>
      </c>
      <c r="AZ18" s="16">
        <v>0.0</v>
      </c>
      <c r="BA18" s="16">
        <v>0.0</v>
      </c>
      <c r="BB18" s="16">
        <v>0.0</v>
      </c>
      <c r="BC18" s="16">
        <v>0.0</v>
      </c>
      <c r="BD18" s="16">
        <v>1.0</v>
      </c>
      <c r="BE18" s="16">
        <v>0.0</v>
      </c>
      <c r="BF18" s="16">
        <v>0.0</v>
      </c>
      <c r="BG18" s="16">
        <v>0.0</v>
      </c>
      <c r="BH18" s="16">
        <v>0.0</v>
      </c>
      <c r="BI18" s="16">
        <v>0.0</v>
      </c>
      <c r="BJ18" s="16">
        <v>0.0</v>
      </c>
      <c r="BK18" s="16">
        <v>0.0</v>
      </c>
      <c r="BL18" s="16">
        <v>0.0</v>
      </c>
      <c r="BM18" s="16">
        <v>0.0</v>
      </c>
      <c r="BN18" s="16">
        <v>0.0</v>
      </c>
      <c r="BO18" s="16">
        <v>0.0</v>
      </c>
      <c r="BP18" s="16">
        <v>0.0</v>
      </c>
      <c r="BQ18" s="16">
        <v>0.0</v>
      </c>
      <c r="BR18" s="16">
        <v>0.0</v>
      </c>
      <c r="BS18" s="16">
        <v>0.0</v>
      </c>
      <c r="BT18" s="16">
        <v>0.0</v>
      </c>
      <c r="BU18" s="16">
        <v>0.0</v>
      </c>
      <c r="BV18" s="16">
        <v>0.0</v>
      </c>
      <c r="BW18" s="16">
        <v>0.0</v>
      </c>
      <c r="BX18" s="16">
        <v>0.0</v>
      </c>
      <c r="BY18" s="16">
        <v>0.0</v>
      </c>
      <c r="BZ18" s="16">
        <v>0.0</v>
      </c>
      <c r="CA18" s="16">
        <v>0.0</v>
      </c>
      <c r="CB18" s="16">
        <v>0.0</v>
      </c>
      <c r="CC18" s="16">
        <v>0.0</v>
      </c>
      <c r="CD18" s="16">
        <v>0.0</v>
      </c>
      <c r="CE18" s="16">
        <v>0.0</v>
      </c>
      <c r="CF18" s="16">
        <v>0.0</v>
      </c>
      <c r="CG18" s="16">
        <v>0.0</v>
      </c>
      <c r="CH18" s="16">
        <v>0.0</v>
      </c>
      <c r="CI18" s="16">
        <v>0.0</v>
      </c>
      <c r="CJ18" s="16">
        <v>1.0</v>
      </c>
      <c r="CK18" s="16">
        <v>1.0</v>
      </c>
      <c r="CL18" s="16">
        <v>0.0</v>
      </c>
      <c r="CM18" s="16">
        <v>0.0</v>
      </c>
      <c r="CN18" s="16">
        <v>0.0</v>
      </c>
      <c r="CO18" s="16">
        <v>0.0</v>
      </c>
      <c r="CP18" s="16">
        <v>0.0</v>
      </c>
      <c r="CQ18" s="16">
        <v>0.0</v>
      </c>
      <c r="CR18" s="16">
        <v>0.0</v>
      </c>
      <c r="CS18" s="16">
        <v>0.0</v>
      </c>
      <c r="CT18" s="16">
        <v>0.0</v>
      </c>
      <c r="CU18" s="16">
        <v>0.0</v>
      </c>
      <c r="CV18" s="16">
        <v>0.0</v>
      </c>
      <c r="CW18" s="16">
        <v>0.0</v>
      </c>
      <c r="CX18" s="16">
        <v>0.0</v>
      </c>
      <c r="CY18" s="16">
        <v>0.0</v>
      </c>
      <c r="CZ18" s="16">
        <v>0.0</v>
      </c>
      <c r="DA18" s="16">
        <v>0.0</v>
      </c>
      <c r="DB18" s="16">
        <v>0.0</v>
      </c>
      <c r="DC18" s="16">
        <v>0.0</v>
      </c>
      <c r="DD18" s="16">
        <v>1.0</v>
      </c>
      <c r="DE18" s="16">
        <v>0.0</v>
      </c>
      <c r="DF18" s="16">
        <v>1.0</v>
      </c>
      <c r="DG18" s="16">
        <v>0.0</v>
      </c>
      <c r="DH18" s="16">
        <v>0.0</v>
      </c>
      <c r="DI18" s="16">
        <v>0.0</v>
      </c>
      <c r="DJ18" s="16">
        <v>0.0</v>
      </c>
      <c r="DK18" s="16">
        <v>0.0</v>
      </c>
      <c r="DL18" s="16">
        <v>0.0</v>
      </c>
      <c r="DM18" s="16">
        <v>0.0</v>
      </c>
      <c r="DN18" s="16">
        <v>0.0</v>
      </c>
      <c r="DO18" s="16">
        <v>0.0</v>
      </c>
      <c r="DP18" s="16">
        <v>0.0</v>
      </c>
      <c r="DQ18" s="16">
        <v>0.0</v>
      </c>
      <c r="DR18" s="16">
        <v>0.0</v>
      </c>
      <c r="DS18" s="16">
        <v>0.0</v>
      </c>
      <c r="DT18" s="16">
        <v>0.0</v>
      </c>
      <c r="DU18" s="16">
        <v>0.0</v>
      </c>
      <c r="DV18" s="16">
        <v>0.0</v>
      </c>
      <c r="DW18" s="16">
        <v>0.0</v>
      </c>
      <c r="DX18" s="16">
        <v>0.0</v>
      </c>
      <c r="DY18" s="16">
        <v>0.0</v>
      </c>
      <c r="DZ18" s="16">
        <v>1.0</v>
      </c>
      <c r="EA18" s="16">
        <v>1.0</v>
      </c>
      <c r="EB18" s="16">
        <v>0.0</v>
      </c>
      <c r="EC18" s="16">
        <v>0.0</v>
      </c>
      <c r="ED18" s="16">
        <v>0.0</v>
      </c>
      <c r="EE18" s="16">
        <v>0.0</v>
      </c>
      <c r="EF18" s="16">
        <v>1.0</v>
      </c>
      <c r="EG18" s="16">
        <v>1.0</v>
      </c>
      <c r="EH18" s="16">
        <v>1.0</v>
      </c>
      <c r="EI18" s="16">
        <v>1.0</v>
      </c>
      <c r="EJ18" s="16">
        <v>0.0</v>
      </c>
      <c r="EK18" s="16">
        <v>0.0</v>
      </c>
      <c r="EL18" s="16">
        <v>0.0</v>
      </c>
      <c r="EM18" s="16">
        <v>0.0</v>
      </c>
      <c r="EN18" s="16">
        <v>0.0</v>
      </c>
      <c r="EO18" s="16">
        <v>0.0</v>
      </c>
      <c r="EP18" s="16">
        <v>0.0</v>
      </c>
      <c r="EQ18" s="16">
        <v>0.0</v>
      </c>
      <c r="ER18" s="16">
        <v>1.0</v>
      </c>
      <c r="ES18" s="16">
        <v>0.0</v>
      </c>
      <c r="ET18" s="16">
        <v>1.0</v>
      </c>
      <c r="EU18" s="16">
        <v>0.0</v>
      </c>
      <c r="EV18" s="16">
        <v>1.0</v>
      </c>
      <c r="EW18" s="16">
        <v>1.0</v>
      </c>
      <c r="EX18" s="16">
        <v>0.0</v>
      </c>
      <c r="EY18" s="16">
        <v>0.0</v>
      </c>
      <c r="EZ18" s="16">
        <v>0.0</v>
      </c>
      <c r="FA18" s="16">
        <v>0.0</v>
      </c>
      <c r="FB18" s="16">
        <v>0.0</v>
      </c>
      <c r="FC18" s="16">
        <v>0.0</v>
      </c>
      <c r="FD18" s="16">
        <v>0.0</v>
      </c>
      <c r="FE18" s="16">
        <v>0.0</v>
      </c>
      <c r="FF18" s="16">
        <v>0.0</v>
      </c>
      <c r="FG18" s="16">
        <v>0.0</v>
      </c>
      <c r="FH18" s="16">
        <v>0.0</v>
      </c>
      <c r="FI18" s="16">
        <v>0.0</v>
      </c>
      <c r="FJ18" s="16">
        <v>0.0</v>
      </c>
      <c r="FK18" s="16">
        <v>0.0</v>
      </c>
      <c r="FL18" s="16">
        <v>0.0</v>
      </c>
      <c r="FM18" s="16">
        <v>0.0</v>
      </c>
      <c r="FN18" s="16">
        <v>0.0</v>
      </c>
      <c r="FO18" s="16">
        <v>0.0</v>
      </c>
      <c r="FP18" s="16">
        <v>0.0</v>
      </c>
      <c r="FQ18" s="16">
        <v>0.0</v>
      </c>
      <c r="FR18" s="16">
        <v>0.0</v>
      </c>
      <c r="FS18" s="16">
        <v>0.0</v>
      </c>
      <c r="FT18" s="16">
        <v>0.0</v>
      </c>
      <c r="FU18" s="16">
        <v>0.0</v>
      </c>
      <c r="FV18" s="16">
        <v>0.0</v>
      </c>
      <c r="FW18" s="16">
        <v>0.0</v>
      </c>
    </row>
    <row r="19">
      <c r="A19" s="15" t="s">
        <v>213</v>
      </c>
      <c r="B19" s="16">
        <v>0.0</v>
      </c>
      <c r="C19" s="16">
        <v>0.0</v>
      </c>
      <c r="D19" s="16">
        <v>0.0</v>
      </c>
      <c r="E19" s="16">
        <v>0.0</v>
      </c>
      <c r="F19" s="16">
        <v>1.0</v>
      </c>
      <c r="G19" s="16">
        <v>1.0</v>
      </c>
      <c r="H19" s="16">
        <v>4.0</v>
      </c>
      <c r="I19" s="16">
        <v>2.0</v>
      </c>
      <c r="J19" s="16">
        <v>0.0</v>
      </c>
      <c r="K19" s="16">
        <v>0.0</v>
      </c>
      <c r="L19" s="16">
        <v>2.0</v>
      </c>
      <c r="M19" s="16">
        <v>2.0</v>
      </c>
      <c r="N19" s="16">
        <v>3.0</v>
      </c>
      <c r="O19" s="16">
        <v>2.0</v>
      </c>
      <c r="P19" s="16">
        <v>0.0</v>
      </c>
      <c r="Q19" s="16">
        <v>0.0</v>
      </c>
      <c r="R19" s="16">
        <v>1.0</v>
      </c>
      <c r="S19" s="16">
        <v>0.0</v>
      </c>
      <c r="T19" s="16">
        <v>0.0</v>
      </c>
      <c r="U19" s="16">
        <v>0.0</v>
      </c>
      <c r="V19" s="16">
        <v>0.0</v>
      </c>
      <c r="W19" s="16">
        <v>0.0</v>
      </c>
      <c r="X19" s="16">
        <v>0.0</v>
      </c>
      <c r="Y19" s="16">
        <v>0.0</v>
      </c>
      <c r="Z19" s="16">
        <v>0.0</v>
      </c>
      <c r="AA19" s="16">
        <v>0.0</v>
      </c>
      <c r="AB19" s="16">
        <v>0.0</v>
      </c>
      <c r="AC19" s="16">
        <v>0.0</v>
      </c>
      <c r="AD19" s="16">
        <v>2.0</v>
      </c>
      <c r="AE19" s="16">
        <v>2.0</v>
      </c>
      <c r="AF19" s="16">
        <v>0.0</v>
      </c>
      <c r="AG19" s="16">
        <v>0.0</v>
      </c>
      <c r="AH19" s="16">
        <v>0.0</v>
      </c>
      <c r="AI19" s="16">
        <v>0.0</v>
      </c>
      <c r="AJ19" s="16">
        <v>0.0</v>
      </c>
      <c r="AK19" s="16">
        <v>0.0</v>
      </c>
      <c r="AL19" s="16">
        <v>0.0</v>
      </c>
      <c r="AM19" s="16">
        <v>0.0</v>
      </c>
      <c r="AN19" s="16">
        <v>0.0</v>
      </c>
      <c r="AO19" s="16">
        <v>0.0</v>
      </c>
      <c r="AP19" s="16">
        <v>0.0</v>
      </c>
      <c r="AQ19" s="16">
        <v>0.0</v>
      </c>
      <c r="AR19" s="16">
        <v>0.0</v>
      </c>
      <c r="AS19" s="16">
        <v>0.0</v>
      </c>
      <c r="AT19" s="16">
        <v>0.0</v>
      </c>
      <c r="AU19" s="16">
        <v>0.0</v>
      </c>
      <c r="AV19" s="16">
        <v>1.0</v>
      </c>
      <c r="AW19" s="16">
        <v>1.0</v>
      </c>
      <c r="AX19" s="16">
        <v>2.0</v>
      </c>
      <c r="AY19" s="16">
        <v>0.0</v>
      </c>
      <c r="AZ19" s="16">
        <v>0.0</v>
      </c>
      <c r="BA19" s="16">
        <v>0.0</v>
      </c>
      <c r="BB19" s="16">
        <v>0.0</v>
      </c>
      <c r="BC19" s="16">
        <v>0.0</v>
      </c>
      <c r="BD19" s="16">
        <v>1.0</v>
      </c>
      <c r="BE19" s="16">
        <v>1.0</v>
      </c>
      <c r="BF19" s="16">
        <v>0.0</v>
      </c>
      <c r="BG19" s="16">
        <v>0.0</v>
      </c>
      <c r="BH19" s="16">
        <v>1.0</v>
      </c>
      <c r="BI19" s="16">
        <v>0.0</v>
      </c>
      <c r="BJ19" s="16">
        <v>0.0</v>
      </c>
      <c r="BK19" s="16">
        <v>0.0</v>
      </c>
      <c r="BL19" s="16">
        <v>0.0</v>
      </c>
      <c r="BM19" s="16">
        <v>0.0</v>
      </c>
      <c r="BN19" s="16">
        <v>0.0</v>
      </c>
      <c r="BO19" s="16">
        <v>0.0</v>
      </c>
      <c r="BP19" s="16">
        <v>0.0</v>
      </c>
      <c r="BQ19" s="16">
        <v>0.0</v>
      </c>
      <c r="BR19" s="16">
        <v>0.0</v>
      </c>
      <c r="BS19" s="16">
        <v>0.0</v>
      </c>
      <c r="BT19" s="16">
        <v>0.0</v>
      </c>
      <c r="BU19" s="16">
        <v>0.0</v>
      </c>
      <c r="BV19" s="16">
        <v>0.0</v>
      </c>
      <c r="BW19" s="16">
        <v>0.0</v>
      </c>
      <c r="BX19" s="16">
        <v>0.0</v>
      </c>
      <c r="BY19" s="16">
        <v>0.0</v>
      </c>
      <c r="BZ19" s="16">
        <v>0.0</v>
      </c>
      <c r="CA19" s="16">
        <v>0.0</v>
      </c>
      <c r="CB19" s="16">
        <v>0.0</v>
      </c>
      <c r="CC19" s="16">
        <v>0.0</v>
      </c>
      <c r="CD19" s="16">
        <v>0.0</v>
      </c>
      <c r="CE19" s="16">
        <v>0.0</v>
      </c>
      <c r="CF19" s="16">
        <v>0.0</v>
      </c>
      <c r="CG19" s="16">
        <v>0.0</v>
      </c>
      <c r="CH19" s="16">
        <v>0.0</v>
      </c>
      <c r="CI19" s="16">
        <v>0.0</v>
      </c>
      <c r="CJ19" s="16">
        <v>0.0</v>
      </c>
      <c r="CK19" s="16">
        <v>0.0</v>
      </c>
      <c r="CL19" s="16">
        <v>0.0</v>
      </c>
      <c r="CM19" s="16">
        <v>0.0</v>
      </c>
      <c r="CN19" s="16">
        <v>0.0</v>
      </c>
      <c r="CO19" s="16">
        <v>0.0</v>
      </c>
      <c r="CP19" s="16">
        <v>0.0</v>
      </c>
      <c r="CQ19" s="16">
        <v>0.0</v>
      </c>
      <c r="CR19" s="16">
        <v>0.0</v>
      </c>
      <c r="CS19" s="16">
        <v>0.0</v>
      </c>
      <c r="CT19" s="16">
        <v>2.0</v>
      </c>
      <c r="CU19" s="16">
        <v>1.0</v>
      </c>
      <c r="CV19" s="16">
        <v>0.0</v>
      </c>
      <c r="CW19" s="16">
        <v>0.0</v>
      </c>
      <c r="CX19" s="16">
        <v>0.0</v>
      </c>
      <c r="CY19" s="16">
        <v>0.0</v>
      </c>
      <c r="CZ19" s="16">
        <v>0.0</v>
      </c>
      <c r="DA19" s="16">
        <v>0.0</v>
      </c>
      <c r="DB19" s="16">
        <v>0.0</v>
      </c>
      <c r="DC19" s="16">
        <v>0.0</v>
      </c>
      <c r="DD19" s="16">
        <v>0.0</v>
      </c>
      <c r="DE19" s="16">
        <v>0.0</v>
      </c>
      <c r="DF19" s="16">
        <v>0.0</v>
      </c>
      <c r="DG19" s="16">
        <v>0.0</v>
      </c>
      <c r="DH19" s="16">
        <v>0.0</v>
      </c>
      <c r="DI19" s="16">
        <v>0.0</v>
      </c>
      <c r="DJ19" s="16">
        <v>0.0</v>
      </c>
      <c r="DK19" s="16">
        <v>0.0</v>
      </c>
      <c r="DL19" s="16">
        <v>0.0</v>
      </c>
      <c r="DM19" s="16">
        <v>0.0</v>
      </c>
      <c r="DN19" s="16">
        <v>0.0</v>
      </c>
      <c r="DO19" s="16">
        <v>0.0</v>
      </c>
      <c r="DP19" s="16">
        <v>0.0</v>
      </c>
      <c r="DQ19" s="16">
        <v>0.0</v>
      </c>
      <c r="DR19" s="16">
        <v>0.0</v>
      </c>
      <c r="DS19" s="16">
        <v>0.0</v>
      </c>
      <c r="DT19" s="16">
        <v>1.0</v>
      </c>
      <c r="DU19" s="16">
        <v>0.0</v>
      </c>
      <c r="DV19" s="16">
        <v>0.0</v>
      </c>
      <c r="DW19" s="16">
        <v>0.0</v>
      </c>
      <c r="DX19" s="16">
        <v>0.0</v>
      </c>
      <c r="DY19" s="16">
        <v>0.0</v>
      </c>
      <c r="DZ19" s="16">
        <v>0.0</v>
      </c>
      <c r="EA19" s="16">
        <v>0.0</v>
      </c>
      <c r="EB19" s="16">
        <v>1.0</v>
      </c>
      <c r="EC19" s="16">
        <v>1.0</v>
      </c>
      <c r="ED19" s="16">
        <v>2.0</v>
      </c>
      <c r="EE19" s="16">
        <v>2.0</v>
      </c>
      <c r="EF19" s="16">
        <v>0.0</v>
      </c>
      <c r="EG19" s="16">
        <v>0.0</v>
      </c>
      <c r="EH19" s="16">
        <v>0.0</v>
      </c>
      <c r="EI19" s="16">
        <v>0.0</v>
      </c>
      <c r="EJ19" s="16">
        <v>0.0</v>
      </c>
      <c r="EK19" s="16">
        <v>0.0</v>
      </c>
      <c r="EL19" s="16">
        <v>0.0</v>
      </c>
      <c r="EM19" s="16">
        <v>0.0</v>
      </c>
      <c r="EN19" s="16">
        <v>0.0</v>
      </c>
      <c r="EO19" s="16">
        <v>0.0</v>
      </c>
      <c r="EP19" s="16">
        <v>0.0</v>
      </c>
      <c r="EQ19" s="16">
        <v>0.0</v>
      </c>
      <c r="ER19" s="16">
        <v>0.0</v>
      </c>
      <c r="ES19" s="16">
        <v>0.0</v>
      </c>
      <c r="ET19" s="16">
        <v>0.0</v>
      </c>
      <c r="EU19" s="16">
        <v>0.0</v>
      </c>
      <c r="EV19" s="16">
        <v>0.0</v>
      </c>
      <c r="EW19" s="16">
        <v>0.0</v>
      </c>
      <c r="EX19" s="16">
        <v>0.0</v>
      </c>
      <c r="EY19" s="16">
        <v>0.0</v>
      </c>
      <c r="EZ19" s="16">
        <v>0.0</v>
      </c>
      <c r="FA19" s="16">
        <v>0.0</v>
      </c>
      <c r="FB19" s="16">
        <v>0.0</v>
      </c>
      <c r="FC19" s="16">
        <v>0.0</v>
      </c>
      <c r="FD19" s="16">
        <v>0.0</v>
      </c>
      <c r="FE19" s="16">
        <v>0.0</v>
      </c>
      <c r="FF19" s="16">
        <v>0.0</v>
      </c>
      <c r="FG19" s="16">
        <v>0.0</v>
      </c>
      <c r="FH19" s="16">
        <v>1.0</v>
      </c>
      <c r="FI19" s="16">
        <v>1.0</v>
      </c>
      <c r="FJ19" s="16">
        <v>1.0</v>
      </c>
      <c r="FK19" s="16">
        <v>1.0</v>
      </c>
      <c r="FL19" s="16">
        <v>0.0</v>
      </c>
      <c r="FM19" s="16">
        <v>0.0</v>
      </c>
      <c r="FN19" s="16">
        <v>0.0</v>
      </c>
      <c r="FO19" s="16">
        <v>0.0</v>
      </c>
      <c r="FP19" s="16">
        <v>0.0</v>
      </c>
      <c r="FQ19" s="16">
        <v>0.0</v>
      </c>
      <c r="FR19" s="16">
        <v>0.0</v>
      </c>
      <c r="FS19" s="16">
        <v>0.0</v>
      </c>
      <c r="FT19" s="16">
        <v>0.0</v>
      </c>
      <c r="FU19" s="16">
        <v>0.0</v>
      </c>
      <c r="FV19" s="16">
        <v>0.0</v>
      </c>
      <c r="FW19" s="16">
        <v>0.0</v>
      </c>
    </row>
    <row r="20">
      <c r="A20" s="15" t="s">
        <v>214</v>
      </c>
      <c r="B20" s="16">
        <v>0.0</v>
      </c>
      <c r="C20" s="16">
        <v>0.0</v>
      </c>
      <c r="D20" s="16">
        <v>0.0</v>
      </c>
      <c r="E20" s="16">
        <v>0.0</v>
      </c>
      <c r="F20" s="16">
        <v>0.0</v>
      </c>
      <c r="G20" s="16">
        <v>0.0</v>
      </c>
      <c r="H20" s="16">
        <v>2.0</v>
      </c>
      <c r="I20" s="16">
        <v>1.0</v>
      </c>
      <c r="J20" s="16">
        <v>0.0</v>
      </c>
      <c r="K20" s="16">
        <v>0.0</v>
      </c>
      <c r="L20" s="16">
        <v>0.0</v>
      </c>
      <c r="M20" s="16">
        <v>0.0</v>
      </c>
      <c r="N20" s="16">
        <v>0.0</v>
      </c>
      <c r="O20" s="16">
        <v>0.0</v>
      </c>
      <c r="P20" s="16">
        <v>0.0</v>
      </c>
      <c r="Q20" s="16">
        <v>0.0</v>
      </c>
      <c r="R20" s="16">
        <v>1.0</v>
      </c>
      <c r="S20" s="16">
        <v>0.0</v>
      </c>
      <c r="T20" s="16">
        <v>0.0</v>
      </c>
      <c r="U20" s="16">
        <v>0.0</v>
      </c>
      <c r="V20" s="16">
        <v>0.0</v>
      </c>
      <c r="W20" s="16">
        <v>0.0</v>
      </c>
      <c r="X20" s="16">
        <v>0.0</v>
      </c>
      <c r="Y20" s="16">
        <v>0.0</v>
      </c>
      <c r="Z20" s="16">
        <v>0.0</v>
      </c>
      <c r="AA20" s="16">
        <v>0.0</v>
      </c>
      <c r="AB20" s="16">
        <v>0.0</v>
      </c>
      <c r="AC20" s="16">
        <v>0.0</v>
      </c>
      <c r="AD20" s="16">
        <v>1.0</v>
      </c>
      <c r="AE20" s="16">
        <v>1.0</v>
      </c>
      <c r="AF20" s="16">
        <v>0.0</v>
      </c>
      <c r="AG20" s="16">
        <v>0.0</v>
      </c>
      <c r="AH20" s="16">
        <v>0.0</v>
      </c>
      <c r="AI20" s="16">
        <v>0.0</v>
      </c>
      <c r="AJ20" s="16">
        <v>0.0</v>
      </c>
      <c r="AK20" s="16">
        <v>0.0</v>
      </c>
      <c r="AL20" s="16">
        <v>0.0</v>
      </c>
      <c r="AM20" s="16">
        <v>0.0</v>
      </c>
      <c r="AN20" s="16">
        <v>0.0</v>
      </c>
      <c r="AO20" s="16">
        <v>0.0</v>
      </c>
      <c r="AP20" s="16">
        <v>0.0</v>
      </c>
      <c r="AQ20" s="16">
        <v>0.0</v>
      </c>
      <c r="AR20" s="16">
        <v>0.0</v>
      </c>
      <c r="AS20" s="16">
        <v>0.0</v>
      </c>
      <c r="AT20" s="16">
        <v>0.0</v>
      </c>
      <c r="AU20" s="16">
        <v>0.0</v>
      </c>
      <c r="AV20" s="16">
        <v>0.0</v>
      </c>
      <c r="AW20" s="16">
        <v>0.0</v>
      </c>
      <c r="AX20" s="16">
        <v>0.0</v>
      </c>
      <c r="AY20" s="16">
        <v>0.0</v>
      </c>
      <c r="AZ20" s="16">
        <v>0.0</v>
      </c>
      <c r="BA20" s="16">
        <v>0.0</v>
      </c>
      <c r="BB20" s="16">
        <v>0.0</v>
      </c>
      <c r="BC20" s="16">
        <v>0.0</v>
      </c>
      <c r="BD20" s="16">
        <v>0.0</v>
      </c>
      <c r="BE20" s="16">
        <v>0.0</v>
      </c>
      <c r="BF20" s="16">
        <v>0.0</v>
      </c>
      <c r="BG20" s="16">
        <v>0.0</v>
      </c>
      <c r="BH20" s="16">
        <v>0.0</v>
      </c>
      <c r="BI20" s="16">
        <v>0.0</v>
      </c>
      <c r="BJ20" s="16">
        <v>0.0</v>
      </c>
      <c r="BK20" s="16">
        <v>0.0</v>
      </c>
      <c r="BL20" s="16">
        <v>1.0</v>
      </c>
      <c r="BM20" s="16">
        <v>1.0</v>
      </c>
      <c r="BN20" s="16">
        <v>0.0</v>
      </c>
      <c r="BO20" s="16">
        <v>0.0</v>
      </c>
      <c r="BP20" s="16">
        <v>0.0</v>
      </c>
      <c r="BQ20" s="16">
        <v>0.0</v>
      </c>
      <c r="BR20" s="16">
        <v>0.0</v>
      </c>
      <c r="BS20" s="16">
        <v>0.0</v>
      </c>
      <c r="BT20" s="16">
        <v>0.0</v>
      </c>
      <c r="BU20" s="16">
        <v>0.0</v>
      </c>
      <c r="BV20" s="16">
        <v>0.0</v>
      </c>
      <c r="BW20" s="16">
        <v>0.0</v>
      </c>
      <c r="BX20" s="16">
        <v>0.0</v>
      </c>
      <c r="BY20" s="16">
        <v>0.0</v>
      </c>
      <c r="BZ20" s="16">
        <v>0.0</v>
      </c>
      <c r="CA20" s="16">
        <v>0.0</v>
      </c>
      <c r="CB20" s="16">
        <v>0.0</v>
      </c>
      <c r="CC20" s="16">
        <v>0.0</v>
      </c>
      <c r="CD20" s="16">
        <v>0.0</v>
      </c>
      <c r="CE20" s="16">
        <v>0.0</v>
      </c>
      <c r="CF20" s="16">
        <v>0.0</v>
      </c>
      <c r="CG20" s="16">
        <v>0.0</v>
      </c>
      <c r="CH20" s="16">
        <v>0.0</v>
      </c>
      <c r="CI20" s="16">
        <v>0.0</v>
      </c>
      <c r="CJ20" s="16">
        <v>0.0</v>
      </c>
      <c r="CK20" s="16">
        <v>0.0</v>
      </c>
      <c r="CL20" s="16">
        <v>0.0</v>
      </c>
      <c r="CM20" s="16">
        <v>0.0</v>
      </c>
      <c r="CN20" s="16">
        <v>0.0</v>
      </c>
      <c r="CO20" s="16">
        <v>0.0</v>
      </c>
      <c r="CP20" s="16">
        <v>0.0</v>
      </c>
      <c r="CQ20" s="16">
        <v>0.0</v>
      </c>
      <c r="CR20" s="16">
        <v>1.0</v>
      </c>
      <c r="CS20" s="16">
        <v>1.0</v>
      </c>
      <c r="CT20" s="16">
        <v>0.0</v>
      </c>
      <c r="CU20" s="16">
        <v>0.0</v>
      </c>
      <c r="CV20" s="16">
        <v>0.0</v>
      </c>
      <c r="CW20" s="16">
        <v>0.0</v>
      </c>
      <c r="CX20" s="16">
        <v>0.0</v>
      </c>
      <c r="CY20" s="16">
        <v>0.0</v>
      </c>
      <c r="CZ20" s="16">
        <v>0.0</v>
      </c>
      <c r="DA20" s="16">
        <v>0.0</v>
      </c>
      <c r="DB20" s="16">
        <v>0.0</v>
      </c>
      <c r="DC20" s="16">
        <v>0.0</v>
      </c>
      <c r="DD20" s="16">
        <v>0.0</v>
      </c>
      <c r="DE20" s="16">
        <v>0.0</v>
      </c>
      <c r="DF20" s="16">
        <v>0.0</v>
      </c>
      <c r="DG20" s="16">
        <v>0.0</v>
      </c>
      <c r="DH20" s="16">
        <v>0.0</v>
      </c>
      <c r="DI20" s="16">
        <v>0.0</v>
      </c>
      <c r="DJ20" s="16">
        <v>0.0</v>
      </c>
      <c r="DK20" s="16">
        <v>0.0</v>
      </c>
      <c r="DL20" s="16">
        <v>0.0</v>
      </c>
      <c r="DM20" s="16">
        <v>0.0</v>
      </c>
      <c r="DN20" s="16">
        <v>0.0</v>
      </c>
      <c r="DO20" s="16">
        <v>0.0</v>
      </c>
      <c r="DP20" s="16">
        <v>0.0</v>
      </c>
      <c r="DQ20" s="16">
        <v>0.0</v>
      </c>
      <c r="DR20" s="16">
        <v>0.0</v>
      </c>
      <c r="DS20" s="16">
        <v>0.0</v>
      </c>
      <c r="DT20" s="16">
        <v>0.0</v>
      </c>
      <c r="DU20" s="16">
        <v>0.0</v>
      </c>
      <c r="DV20" s="16">
        <v>0.0</v>
      </c>
      <c r="DW20" s="16">
        <v>0.0</v>
      </c>
      <c r="DX20" s="16">
        <v>1.0</v>
      </c>
      <c r="DY20" s="16">
        <v>1.0</v>
      </c>
      <c r="DZ20" s="16">
        <v>1.0</v>
      </c>
      <c r="EA20" s="16">
        <v>1.0</v>
      </c>
      <c r="EB20" s="16">
        <v>0.0</v>
      </c>
      <c r="EC20" s="16">
        <v>0.0</v>
      </c>
      <c r="ED20" s="16">
        <v>0.0</v>
      </c>
      <c r="EE20" s="16">
        <v>0.0</v>
      </c>
      <c r="EF20" s="16">
        <v>0.0</v>
      </c>
      <c r="EG20" s="16">
        <v>0.0</v>
      </c>
      <c r="EH20" s="16">
        <v>0.0</v>
      </c>
      <c r="EI20" s="16">
        <v>0.0</v>
      </c>
      <c r="EJ20" s="16">
        <v>0.0</v>
      </c>
      <c r="EK20" s="16">
        <v>0.0</v>
      </c>
      <c r="EL20" s="16">
        <v>0.0</v>
      </c>
      <c r="EM20" s="16">
        <v>0.0</v>
      </c>
      <c r="EN20" s="16">
        <v>0.0</v>
      </c>
      <c r="EO20" s="16">
        <v>0.0</v>
      </c>
      <c r="EP20" s="16">
        <v>0.0</v>
      </c>
      <c r="EQ20" s="16">
        <v>0.0</v>
      </c>
      <c r="ER20" s="16">
        <v>0.0</v>
      </c>
      <c r="ES20" s="16">
        <v>0.0</v>
      </c>
      <c r="ET20" s="16">
        <v>0.0</v>
      </c>
      <c r="EU20" s="16">
        <v>0.0</v>
      </c>
      <c r="EV20" s="16">
        <v>0.0</v>
      </c>
      <c r="EW20" s="16">
        <v>0.0</v>
      </c>
      <c r="EX20" s="16">
        <v>0.0</v>
      </c>
      <c r="EY20" s="16">
        <v>0.0</v>
      </c>
      <c r="EZ20" s="16">
        <v>0.0</v>
      </c>
      <c r="FA20" s="16">
        <v>0.0</v>
      </c>
      <c r="FB20" s="16">
        <v>0.0</v>
      </c>
      <c r="FC20" s="16">
        <v>0.0</v>
      </c>
      <c r="FD20" s="16">
        <v>0.0</v>
      </c>
      <c r="FE20" s="16">
        <v>0.0</v>
      </c>
      <c r="FF20" s="16">
        <v>0.0</v>
      </c>
      <c r="FG20" s="16">
        <v>0.0</v>
      </c>
      <c r="FH20" s="16">
        <v>0.0</v>
      </c>
      <c r="FI20" s="16">
        <v>0.0</v>
      </c>
      <c r="FJ20" s="16">
        <v>0.0</v>
      </c>
      <c r="FK20" s="16">
        <v>0.0</v>
      </c>
      <c r="FL20" s="16">
        <v>0.0</v>
      </c>
      <c r="FM20" s="16">
        <v>0.0</v>
      </c>
      <c r="FN20" s="16">
        <v>0.0</v>
      </c>
      <c r="FO20" s="16">
        <v>0.0</v>
      </c>
      <c r="FP20" s="16">
        <v>0.0</v>
      </c>
      <c r="FQ20" s="16">
        <v>0.0</v>
      </c>
      <c r="FR20" s="16">
        <v>0.0</v>
      </c>
      <c r="FS20" s="16">
        <v>0.0</v>
      </c>
      <c r="FT20" s="16">
        <v>0.0</v>
      </c>
      <c r="FU20" s="16">
        <v>0.0</v>
      </c>
      <c r="FV20" s="16">
        <v>0.0</v>
      </c>
      <c r="FW20" s="16">
        <v>0.0</v>
      </c>
    </row>
    <row r="21">
      <c r="A21" s="15" t="s">
        <v>215</v>
      </c>
      <c r="B21" s="16">
        <v>0.0</v>
      </c>
      <c r="C21" s="16">
        <v>0.0</v>
      </c>
      <c r="D21" s="16">
        <v>0.0</v>
      </c>
      <c r="E21" s="16">
        <v>0.0</v>
      </c>
      <c r="F21" s="16">
        <v>0.0</v>
      </c>
      <c r="G21" s="16">
        <v>0.0</v>
      </c>
      <c r="H21" s="16">
        <v>0.0</v>
      </c>
      <c r="I21" s="16">
        <v>0.0</v>
      </c>
      <c r="J21" s="16">
        <v>0.0</v>
      </c>
      <c r="K21" s="16">
        <v>0.0</v>
      </c>
      <c r="L21" s="16">
        <v>0.0</v>
      </c>
      <c r="M21" s="16">
        <v>0.0</v>
      </c>
      <c r="N21" s="16">
        <v>0.0</v>
      </c>
      <c r="O21" s="16">
        <v>0.0</v>
      </c>
      <c r="P21" s="16">
        <v>0.0</v>
      </c>
      <c r="Q21" s="16">
        <v>0.0</v>
      </c>
      <c r="R21" s="16">
        <v>0.0</v>
      </c>
      <c r="S21" s="16">
        <v>0.0</v>
      </c>
      <c r="T21" s="16">
        <v>0.0</v>
      </c>
      <c r="U21" s="16">
        <v>0.0</v>
      </c>
      <c r="V21" s="16">
        <v>0.0</v>
      </c>
      <c r="W21" s="16">
        <v>0.0</v>
      </c>
      <c r="X21" s="16">
        <v>1.0</v>
      </c>
      <c r="Y21" s="16">
        <v>0.0</v>
      </c>
      <c r="Z21" s="16">
        <v>0.0</v>
      </c>
      <c r="AA21" s="16">
        <v>0.0</v>
      </c>
      <c r="AB21" s="16">
        <v>1.0</v>
      </c>
      <c r="AC21" s="16">
        <v>0.0</v>
      </c>
      <c r="AD21" s="16">
        <v>0.0</v>
      </c>
      <c r="AE21" s="16">
        <v>0.0</v>
      </c>
      <c r="AF21" s="16">
        <v>0.0</v>
      </c>
      <c r="AG21" s="16">
        <v>0.0</v>
      </c>
      <c r="AH21" s="16">
        <v>0.0</v>
      </c>
      <c r="AI21" s="16">
        <v>0.0</v>
      </c>
      <c r="AJ21" s="16">
        <v>0.0</v>
      </c>
      <c r="AK21" s="16">
        <v>0.0</v>
      </c>
      <c r="AL21" s="16">
        <v>0.0</v>
      </c>
      <c r="AM21" s="16">
        <v>0.0</v>
      </c>
      <c r="AN21" s="16">
        <v>0.0</v>
      </c>
      <c r="AO21" s="16">
        <v>0.0</v>
      </c>
      <c r="AP21" s="16">
        <v>0.0</v>
      </c>
      <c r="AQ21" s="16">
        <v>0.0</v>
      </c>
      <c r="AR21" s="16">
        <v>0.0</v>
      </c>
      <c r="AS21" s="16">
        <v>0.0</v>
      </c>
      <c r="AT21" s="16">
        <v>0.0</v>
      </c>
      <c r="AU21" s="16">
        <v>0.0</v>
      </c>
      <c r="AV21" s="16">
        <v>0.0</v>
      </c>
      <c r="AW21" s="16">
        <v>0.0</v>
      </c>
      <c r="AX21" s="16">
        <v>1.0</v>
      </c>
      <c r="AY21" s="16">
        <v>0.0</v>
      </c>
      <c r="AZ21" s="16">
        <v>0.0</v>
      </c>
      <c r="BA21" s="16">
        <v>0.0</v>
      </c>
      <c r="BB21" s="16">
        <v>0.0</v>
      </c>
      <c r="BC21" s="16">
        <v>0.0</v>
      </c>
      <c r="BD21" s="16">
        <v>0.0</v>
      </c>
      <c r="BE21" s="16">
        <v>0.0</v>
      </c>
      <c r="BF21" s="16">
        <v>0.0</v>
      </c>
      <c r="BG21" s="16">
        <v>0.0</v>
      </c>
      <c r="BH21" s="16">
        <v>0.0</v>
      </c>
      <c r="BI21" s="16">
        <v>0.0</v>
      </c>
      <c r="BJ21" s="16">
        <v>0.0</v>
      </c>
      <c r="BK21" s="16">
        <v>0.0</v>
      </c>
      <c r="BL21" s="16">
        <v>0.0</v>
      </c>
      <c r="BM21" s="16">
        <v>0.0</v>
      </c>
      <c r="BN21" s="16">
        <v>1.0</v>
      </c>
      <c r="BO21" s="16">
        <v>1.0</v>
      </c>
      <c r="BP21" s="16">
        <v>0.0</v>
      </c>
      <c r="BQ21" s="16">
        <v>0.0</v>
      </c>
      <c r="BR21" s="16">
        <v>0.0</v>
      </c>
      <c r="BS21" s="16">
        <v>0.0</v>
      </c>
      <c r="BT21" s="16">
        <v>0.0</v>
      </c>
      <c r="BU21" s="16">
        <v>0.0</v>
      </c>
      <c r="BV21" s="16">
        <v>0.0</v>
      </c>
      <c r="BW21" s="16">
        <v>0.0</v>
      </c>
      <c r="BX21" s="16">
        <v>0.0</v>
      </c>
      <c r="BY21" s="16">
        <v>0.0</v>
      </c>
      <c r="BZ21" s="16">
        <v>0.0</v>
      </c>
      <c r="CA21" s="16">
        <v>0.0</v>
      </c>
      <c r="CB21" s="16">
        <v>0.0</v>
      </c>
      <c r="CC21" s="16">
        <v>0.0</v>
      </c>
      <c r="CD21" s="16">
        <v>0.0</v>
      </c>
      <c r="CE21" s="16">
        <v>0.0</v>
      </c>
      <c r="CF21" s="16">
        <v>1.0</v>
      </c>
      <c r="CG21" s="16">
        <v>1.0</v>
      </c>
      <c r="CH21" s="16">
        <v>0.0</v>
      </c>
      <c r="CI21" s="16">
        <v>0.0</v>
      </c>
      <c r="CJ21" s="16">
        <v>0.0</v>
      </c>
      <c r="CK21" s="16">
        <v>0.0</v>
      </c>
      <c r="CL21" s="16">
        <v>0.0</v>
      </c>
      <c r="CM21" s="16">
        <v>0.0</v>
      </c>
      <c r="CN21" s="16">
        <v>0.0</v>
      </c>
      <c r="CO21" s="16">
        <v>0.0</v>
      </c>
      <c r="CP21" s="16">
        <v>0.0</v>
      </c>
      <c r="CQ21" s="16">
        <v>0.0</v>
      </c>
      <c r="CR21" s="16">
        <v>0.0</v>
      </c>
      <c r="CS21" s="16">
        <v>0.0</v>
      </c>
      <c r="CT21" s="16">
        <v>0.0</v>
      </c>
      <c r="CU21" s="16">
        <v>0.0</v>
      </c>
      <c r="CV21" s="16">
        <v>0.0</v>
      </c>
      <c r="CW21" s="16">
        <v>0.0</v>
      </c>
      <c r="CX21" s="16">
        <v>0.0</v>
      </c>
      <c r="CY21" s="16">
        <v>0.0</v>
      </c>
      <c r="CZ21" s="16">
        <v>0.0</v>
      </c>
      <c r="DA21" s="16">
        <v>0.0</v>
      </c>
      <c r="DB21" s="16">
        <v>1.0</v>
      </c>
      <c r="DC21" s="16">
        <v>1.0</v>
      </c>
      <c r="DD21" s="16">
        <v>0.0</v>
      </c>
      <c r="DE21" s="16">
        <v>0.0</v>
      </c>
      <c r="DF21" s="16">
        <v>0.0</v>
      </c>
      <c r="DG21" s="16">
        <v>0.0</v>
      </c>
      <c r="DH21" s="16">
        <v>0.0</v>
      </c>
      <c r="DI21" s="16">
        <v>0.0</v>
      </c>
      <c r="DJ21" s="16">
        <v>0.0</v>
      </c>
      <c r="DK21" s="16">
        <v>0.0</v>
      </c>
      <c r="DL21" s="16">
        <v>0.0</v>
      </c>
      <c r="DM21" s="16">
        <v>0.0</v>
      </c>
      <c r="DN21" s="16">
        <v>0.0</v>
      </c>
      <c r="DO21" s="16">
        <v>0.0</v>
      </c>
      <c r="DP21" s="16">
        <v>0.0</v>
      </c>
      <c r="DQ21" s="16">
        <v>0.0</v>
      </c>
      <c r="DR21" s="16">
        <v>0.0</v>
      </c>
      <c r="DS21" s="16">
        <v>0.0</v>
      </c>
      <c r="DT21" s="16">
        <v>0.0</v>
      </c>
      <c r="DU21" s="16">
        <v>0.0</v>
      </c>
      <c r="DV21" s="16">
        <v>0.0</v>
      </c>
      <c r="DW21" s="16">
        <v>0.0</v>
      </c>
      <c r="DX21" s="16">
        <v>0.0</v>
      </c>
      <c r="DY21" s="16">
        <v>0.0</v>
      </c>
      <c r="DZ21" s="16">
        <v>0.0</v>
      </c>
      <c r="EA21" s="16">
        <v>0.0</v>
      </c>
      <c r="EB21" s="16">
        <v>0.0</v>
      </c>
      <c r="EC21" s="16">
        <v>0.0</v>
      </c>
      <c r="ED21" s="16">
        <v>0.0</v>
      </c>
      <c r="EE21" s="16">
        <v>0.0</v>
      </c>
      <c r="EF21" s="16">
        <v>0.0</v>
      </c>
      <c r="EG21" s="16">
        <v>0.0</v>
      </c>
      <c r="EH21" s="16">
        <v>0.0</v>
      </c>
      <c r="EI21" s="16">
        <v>0.0</v>
      </c>
      <c r="EJ21" s="16">
        <v>0.0</v>
      </c>
      <c r="EK21" s="16">
        <v>0.0</v>
      </c>
      <c r="EL21" s="16">
        <v>0.0</v>
      </c>
      <c r="EM21" s="16">
        <v>0.0</v>
      </c>
      <c r="EN21" s="16">
        <v>0.0</v>
      </c>
      <c r="EO21" s="16">
        <v>0.0</v>
      </c>
      <c r="EP21" s="16">
        <v>0.0</v>
      </c>
      <c r="EQ21" s="16">
        <v>0.0</v>
      </c>
      <c r="ER21" s="16">
        <v>0.0</v>
      </c>
      <c r="ES21" s="16">
        <v>0.0</v>
      </c>
      <c r="ET21" s="16">
        <v>0.0</v>
      </c>
      <c r="EU21" s="16">
        <v>0.0</v>
      </c>
      <c r="EV21" s="16">
        <v>0.0</v>
      </c>
      <c r="EW21" s="16">
        <v>0.0</v>
      </c>
      <c r="EX21" s="16">
        <v>0.0</v>
      </c>
      <c r="EY21" s="16">
        <v>0.0</v>
      </c>
      <c r="EZ21" s="16">
        <v>0.0</v>
      </c>
      <c r="FA21" s="16">
        <v>0.0</v>
      </c>
      <c r="FB21" s="16">
        <v>1.0</v>
      </c>
      <c r="FC21" s="16">
        <v>1.0</v>
      </c>
      <c r="FD21" s="16">
        <v>0.0</v>
      </c>
      <c r="FE21" s="16">
        <v>0.0</v>
      </c>
      <c r="FF21" s="16">
        <v>0.0</v>
      </c>
      <c r="FG21" s="16">
        <v>0.0</v>
      </c>
      <c r="FH21" s="16">
        <v>0.0</v>
      </c>
      <c r="FI21" s="16">
        <v>0.0</v>
      </c>
      <c r="FJ21" s="16">
        <v>0.0</v>
      </c>
      <c r="FK21" s="16">
        <v>0.0</v>
      </c>
      <c r="FL21" s="16">
        <v>0.0</v>
      </c>
      <c r="FM21" s="16">
        <v>0.0</v>
      </c>
      <c r="FN21" s="16">
        <v>0.0</v>
      </c>
      <c r="FO21" s="16">
        <v>0.0</v>
      </c>
      <c r="FP21" s="16">
        <v>0.0</v>
      </c>
      <c r="FQ21" s="16">
        <v>0.0</v>
      </c>
      <c r="FR21" s="16">
        <v>0.0</v>
      </c>
      <c r="FS21" s="16">
        <v>0.0</v>
      </c>
      <c r="FT21" s="16">
        <v>0.0</v>
      </c>
      <c r="FU21" s="16">
        <v>0.0</v>
      </c>
      <c r="FV21" s="16">
        <v>0.0</v>
      </c>
      <c r="FW21" s="16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5" t="s">
        <v>26</v>
      </c>
      <c r="B1" s="15" t="s">
        <v>216</v>
      </c>
      <c r="C1" s="15" t="s">
        <v>217</v>
      </c>
      <c r="D1" s="15" t="s">
        <v>218</v>
      </c>
      <c r="E1" s="15" t="s">
        <v>219</v>
      </c>
      <c r="F1" s="15" t="s">
        <v>220</v>
      </c>
      <c r="G1" s="15" t="s">
        <v>221</v>
      </c>
      <c r="H1" s="15" t="s">
        <v>222</v>
      </c>
      <c r="I1" s="15" t="s">
        <v>223</v>
      </c>
      <c r="J1" s="15" t="s">
        <v>224</v>
      </c>
      <c r="K1" s="15" t="s">
        <v>225</v>
      </c>
      <c r="L1" s="15" t="s">
        <v>226</v>
      </c>
    </row>
    <row r="2">
      <c r="A2" s="15" t="s">
        <v>196</v>
      </c>
      <c r="B2" s="16">
        <v>5.0</v>
      </c>
      <c r="C2" s="16">
        <v>767.0</v>
      </c>
      <c r="D2" s="16">
        <v>51.0</v>
      </c>
      <c r="E2" s="16">
        <v>16.0</v>
      </c>
      <c r="F2" s="16">
        <v>3.0</v>
      </c>
      <c r="G2" s="16">
        <v>15.0</v>
      </c>
      <c r="H2" s="16">
        <v>33.0</v>
      </c>
      <c r="I2" s="16">
        <v>6.0</v>
      </c>
      <c r="J2" s="16">
        <v>10.0</v>
      </c>
      <c r="K2" s="16">
        <v>0.0</v>
      </c>
      <c r="L2" s="16">
        <v>176.0</v>
      </c>
    </row>
    <row r="3">
      <c r="A3" s="15" t="s">
        <v>197</v>
      </c>
      <c r="B3" s="16">
        <v>5.0</v>
      </c>
      <c r="C3" s="16">
        <v>829.0</v>
      </c>
      <c r="D3" s="16">
        <v>50.0</v>
      </c>
      <c r="E3" s="16">
        <v>16.0</v>
      </c>
      <c r="F3" s="16">
        <v>7.0</v>
      </c>
      <c r="G3" s="16">
        <v>16.0</v>
      </c>
      <c r="H3" s="16">
        <v>33.0</v>
      </c>
      <c r="I3" s="16">
        <v>8.0</v>
      </c>
      <c r="J3" s="16">
        <v>15.0</v>
      </c>
      <c r="K3" s="16">
        <v>0.0</v>
      </c>
      <c r="L3" s="16">
        <v>185.0</v>
      </c>
    </row>
    <row r="4">
      <c r="A4" s="15" t="s">
        <v>198</v>
      </c>
      <c r="B4" s="16">
        <v>5.0</v>
      </c>
      <c r="C4" s="16">
        <v>885.0</v>
      </c>
      <c r="D4" s="16">
        <v>53.0</v>
      </c>
      <c r="E4" s="16">
        <v>24.0</v>
      </c>
      <c r="F4" s="16">
        <v>9.0</v>
      </c>
      <c r="G4" s="16">
        <v>15.0</v>
      </c>
      <c r="H4" s="16">
        <v>28.0</v>
      </c>
      <c r="I4" s="16">
        <v>6.0</v>
      </c>
      <c r="J4" s="16">
        <v>9.0</v>
      </c>
      <c r="K4" s="16">
        <v>0.0</v>
      </c>
      <c r="L4" s="16">
        <v>210.0</v>
      </c>
    </row>
    <row r="5">
      <c r="A5" s="15" t="s">
        <v>199</v>
      </c>
      <c r="B5" s="16">
        <v>5.0</v>
      </c>
      <c r="C5" s="16">
        <v>991.0</v>
      </c>
      <c r="D5" s="16">
        <v>51.0</v>
      </c>
      <c r="E5" s="16">
        <v>23.0</v>
      </c>
      <c r="F5" s="16">
        <v>14.0</v>
      </c>
      <c r="G5" s="16">
        <v>15.0</v>
      </c>
      <c r="H5" s="16">
        <v>25.0</v>
      </c>
      <c r="I5" s="16">
        <v>7.0</v>
      </c>
      <c r="J5" s="16">
        <v>9.0</v>
      </c>
      <c r="K5" s="16">
        <v>0.0</v>
      </c>
      <c r="L5" s="16">
        <v>221.0</v>
      </c>
    </row>
    <row r="6">
      <c r="A6" s="15" t="s">
        <v>200</v>
      </c>
      <c r="B6" s="16">
        <v>4.0</v>
      </c>
      <c r="C6" s="17">
        <v>578.0</v>
      </c>
      <c r="D6" s="16">
        <v>40.0</v>
      </c>
      <c r="E6" s="16">
        <v>7.0</v>
      </c>
      <c r="F6" s="16">
        <v>0.0</v>
      </c>
      <c r="G6" s="16">
        <v>15.0</v>
      </c>
      <c r="H6" s="16">
        <v>32.0</v>
      </c>
      <c r="I6" s="16">
        <v>4.0</v>
      </c>
      <c r="J6" s="16">
        <v>7.0</v>
      </c>
      <c r="K6" s="16">
        <v>0.0</v>
      </c>
      <c r="L6" s="17">
        <v>424.0</v>
      </c>
    </row>
    <row r="7">
      <c r="A7" s="15" t="s">
        <v>201</v>
      </c>
      <c r="B7" s="16">
        <v>3.0</v>
      </c>
      <c r="C7" s="16">
        <v>592.0</v>
      </c>
      <c r="D7" s="16">
        <v>33.0</v>
      </c>
      <c r="E7" s="16">
        <v>17.0</v>
      </c>
      <c r="F7" s="16">
        <v>10.0</v>
      </c>
      <c r="G7" s="16">
        <v>10.0</v>
      </c>
      <c r="H7" s="16">
        <v>16.0</v>
      </c>
      <c r="I7" s="16">
        <v>6.0</v>
      </c>
      <c r="J7" s="16">
        <v>9.0</v>
      </c>
      <c r="K7" s="16">
        <v>1.0</v>
      </c>
      <c r="L7" s="16">
        <v>247.0</v>
      </c>
    </row>
    <row r="8">
      <c r="A8" s="15" t="s">
        <v>202</v>
      </c>
      <c r="B8" s="16">
        <v>5.0</v>
      </c>
      <c r="C8" s="16">
        <v>938.0</v>
      </c>
      <c r="D8" s="16">
        <v>54.0</v>
      </c>
      <c r="E8" s="16">
        <v>24.0</v>
      </c>
      <c r="F8" s="16">
        <v>12.0</v>
      </c>
      <c r="G8" s="16">
        <v>20.0</v>
      </c>
      <c r="H8" s="16">
        <v>30.0</v>
      </c>
      <c r="I8" s="16">
        <v>11.0</v>
      </c>
      <c r="J8" s="16">
        <v>16.0</v>
      </c>
      <c r="K8" s="16">
        <v>1.0</v>
      </c>
      <c r="L8" s="16">
        <v>217.0</v>
      </c>
    </row>
    <row r="9">
      <c r="A9" s="15" t="s">
        <v>203</v>
      </c>
      <c r="B9" s="16">
        <v>4.0</v>
      </c>
      <c r="C9" s="16">
        <v>712.0</v>
      </c>
      <c r="D9" s="16">
        <v>43.0</v>
      </c>
      <c r="E9" s="16">
        <v>18.0</v>
      </c>
      <c r="F9" s="16">
        <v>6.0</v>
      </c>
      <c r="G9" s="16">
        <v>15.0</v>
      </c>
      <c r="H9" s="16">
        <v>25.0</v>
      </c>
      <c r="I9" s="16">
        <v>10.0</v>
      </c>
      <c r="J9" s="16">
        <v>12.0</v>
      </c>
      <c r="K9" s="16">
        <v>0.0</v>
      </c>
      <c r="L9" s="16">
        <v>201.0</v>
      </c>
    </row>
    <row r="10">
      <c r="A10" s="15" t="s">
        <v>204</v>
      </c>
      <c r="B10" s="16">
        <v>2.0</v>
      </c>
      <c r="C10" s="16">
        <v>353.0</v>
      </c>
      <c r="D10" s="16">
        <v>20.0</v>
      </c>
      <c r="E10" s="16">
        <v>8.0</v>
      </c>
      <c r="F10" s="16">
        <v>4.0</v>
      </c>
      <c r="G10" s="16">
        <v>5.0</v>
      </c>
      <c r="H10" s="16">
        <v>12.0</v>
      </c>
      <c r="I10" s="16">
        <v>2.0</v>
      </c>
      <c r="J10" s="16">
        <v>4.0</v>
      </c>
      <c r="K10" s="16">
        <v>0.0</v>
      </c>
      <c r="L10" s="16">
        <v>184.0</v>
      </c>
    </row>
    <row r="11">
      <c r="A11" s="18" t="s">
        <v>205</v>
      </c>
      <c r="B11" s="16">
        <v>4.0</v>
      </c>
      <c r="C11" s="16">
        <v>747.0</v>
      </c>
      <c r="D11" s="16">
        <v>42.0</v>
      </c>
      <c r="E11" s="16">
        <v>18.0</v>
      </c>
      <c r="F11" s="16">
        <v>10.0</v>
      </c>
      <c r="G11" s="16">
        <v>14.0</v>
      </c>
      <c r="H11" s="16">
        <v>24.0</v>
      </c>
      <c r="I11" s="16">
        <v>7.0</v>
      </c>
      <c r="J11" s="16">
        <v>10.0</v>
      </c>
      <c r="K11" s="16">
        <v>0.0</v>
      </c>
      <c r="L11" s="16">
        <v>257.0</v>
      </c>
    </row>
    <row r="12">
      <c r="A12" s="15" t="s">
        <v>206</v>
      </c>
      <c r="B12" s="16">
        <v>4.0</v>
      </c>
      <c r="C12" s="16">
        <v>566.0</v>
      </c>
      <c r="D12" s="16">
        <v>40.0</v>
      </c>
      <c r="E12" s="16">
        <v>9.0</v>
      </c>
      <c r="F12" s="16">
        <v>3.0</v>
      </c>
      <c r="G12" s="16">
        <v>10.0</v>
      </c>
      <c r="H12" s="16">
        <v>30.0</v>
      </c>
      <c r="I12" s="16">
        <v>6.0</v>
      </c>
      <c r="J12" s="16">
        <v>7.0</v>
      </c>
      <c r="K12" s="16">
        <v>0.0</v>
      </c>
      <c r="L12" s="16">
        <v>182.0</v>
      </c>
    </row>
    <row r="13">
      <c r="A13" s="15" t="s">
        <v>207</v>
      </c>
      <c r="B13" s="16">
        <v>3.0</v>
      </c>
      <c r="C13" s="16">
        <v>449.0</v>
      </c>
      <c r="D13" s="16">
        <v>32.0</v>
      </c>
      <c r="E13" s="16">
        <v>8.0</v>
      </c>
      <c r="F13" s="16">
        <v>3.0</v>
      </c>
      <c r="G13" s="16">
        <v>12.0</v>
      </c>
      <c r="H13" s="16">
        <v>24.0</v>
      </c>
      <c r="I13" s="16">
        <v>6.0</v>
      </c>
      <c r="J13" s="16">
        <v>9.0</v>
      </c>
      <c r="K13" s="16">
        <v>0.0</v>
      </c>
      <c r="L13" s="16">
        <v>163.0</v>
      </c>
    </row>
    <row r="14">
      <c r="A14" s="15" t="s">
        <v>208</v>
      </c>
      <c r="B14" s="16">
        <v>3.0</v>
      </c>
      <c r="C14" s="16">
        <v>515.0</v>
      </c>
      <c r="D14" s="16">
        <v>30.0</v>
      </c>
      <c r="E14" s="16">
        <v>8.0</v>
      </c>
      <c r="F14" s="16">
        <v>5.0</v>
      </c>
      <c r="G14" s="16">
        <v>10.0</v>
      </c>
      <c r="H14" s="16">
        <v>20.0</v>
      </c>
      <c r="I14" s="16">
        <v>5.0</v>
      </c>
      <c r="J14" s="16">
        <v>11.0</v>
      </c>
      <c r="K14" s="16">
        <v>0.0</v>
      </c>
      <c r="L14" s="16">
        <v>216.0</v>
      </c>
    </row>
    <row r="15">
      <c r="A15" s="15" t="s">
        <v>209</v>
      </c>
      <c r="B15" s="16">
        <v>4.0</v>
      </c>
      <c r="C15" s="16">
        <v>601.0</v>
      </c>
      <c r="D15" s="16">
        <v>40.0</v>
      </c>
      <c r="E15" s="16">
        <v>9.0</v>
      </c>
      <c r="F15" s="16">
        <v>3.0</v>
      </c>
      <c r="G15" s="16">
        <v>13.0</v>
      </c>
      <c r="H15" s="16">
        <v>30.0</v>
      </c>
      <c r="I15" s="16">
        <v>7.0</v>
      </c>
      <c r="J15" s="16">
        <v>13.0</v>
      </c>
      <c r="K15" s="16">
        <v>0.0</v>
      </c>
      <c r="L15" s="16">
        <v>170.0</v>
      </c>
    </row>
    <row r="16">
      <c r="A16" s="15" t="s">
        <v>210</v>
      </c>
      <c r="B16" s="16">
        <v>4.0</v>
      </c>
      <c r="C16" s="16">
        <v>669.0</v>
      </c>
      <c r="D16" s="16">
        <v>40.0</v>
      </c>
      <c r="E16" s="16">
        <v>13.0</v>
      </c>
      <c r="F16" s="16">
        <v>4.0</v>
      </c>
      <c r="G16" s="16">
        <v>15.0</v>
      </c>
      <c r="H16" s="16">
        <v>27.0</v>
      </c>
      <c r="I16" s="16">
        <v>3.0</v>
      </c>
      <c r="J16" s="16">
        <v>3.0</v>
      </c>
      <c r="K16" s="16">
        <v>1.0</v>
      </c>
      <c r="L16" s="16">
        <v>209.0</v>
      </c>
    </row>
    <row r="17">
      <c r="A17" s="15" t="s">
        <v>211</v>
      </c>
      <c r="B17" s="16">
        <v>5.0</v>
      </c>
      <c r="C17" s="16">
        <v>997.0</v>
      </c>
      <c r="D17" s="16">
        <v>50.0</v>
      </c>
      <c r="E17" s="16">
        <v>19.0</v>
      </c>
      <c r="F17" s="16">
        <v>9.0</v>
      </c>
      <c r="G17" s="16">
        <v>26.0</v>
      </c>
      <c r="H17" s="16">
        <v>31.0</v>
      </c>
      <c r="I17" s="16">
        <v>14.0</v>
      </c>
      <c r="J17" s="16">
        <v>16.0</v>
      </c>
      <c r="K17" s="16">
        <v>1.0</v>
      </c>
      <c r="L17" s="16">
        <v>234.0</v>
      </c>
    </row>
    <row r="18">
      <c r="A18" s="15" t="s">
        <v>212</v>
      </c>
      <c r="B18" s="16">
        <v>4.0</v>
      </c>
      <c r="C18" s="16">
        <v>687.0</v>
      </c>
      <c r="D18" s="16">
        <v>40.0</v>
      </c>
      <c r="E18" s="16">
        <v>13.0</v>
      </c>
      <c r="F18" s="16">
        <v>5.0</v>
      </c>
      <c r="G18" s="16">
        <v>15.0</v>
      </c>
      <c r="H18" s="16">
        <v>26.0</v>
      </c>
      <c r="I18" s="16">
        <v>8.0</v>
      </c>
      <c r="J18" s="16">
        <v>12.0</v>
      </c>
      <c r="K18" s="16">
        <v>0.0</v>
      </c>
      <c r="L18" s="16">
        <v>189.0</v>
      </c>
    </row>
    <row r="19">
      <c r="A19" s="15" t="s">
        <v>213</v>
      </c>
      <c r="B19" s="16">
        <v>4.0</v>
      </c>
      <c r="C19" s="16">
        <v>619.0</v>
      </c>
      <c r="D19" s="16">
        <v>40.0</v>
      </c>
      <c r="E19" s="16">
        <v>12.0</v>
      </c>
      <c r="F19" s="16">
        <v>5.0</v>
      </c>
      <c r="G19" s="16">
        <v>11.0</v>
      </c>
      <c r="H19" s="16">
        <v>28.0</v>
      </c>
      <c r="I19" s="16">
        <v>6.0</v>
      </c>
      <c r="J19" s="16">
        <v>12.0</v>
      </c>
      <c r="K19" s="16">
        <v>0.0</v>
      </c>
      <c r="L19" s="16">
        <v>204.0</v>
      </c>
    </row>
    <row r="20">
      <c r="A20" s="15" t="s">
        <v>214</v>
      </c>
      <c r="B20" s="16">
        <v>1.0</v>
      </c>
      <c r="C20" s="16">
        <v>120.0</v>
      </c>
      <c r="D20" s="16">
        <v>10.0</v>
      </c>
      <c r="E20" s="16">
        <v>1.0</v>
      </c>
      <c r="F20" s="16">
        <v>1.0</v>
      </c>
      <c r="G20" s="16">
        <v>3.0</v>
      </c>
      <c r="H20" s="16">
        <v>9.0</v>
      </c>
      <c r="I20" s="16">
        <v>2.0</v>
      </c>
      <c r="J20" s="16">
        <v>3.0</v>
      </c>
      <c r="K20" s="16">
        <v>0.0</v>
      </c>
      <c r="L20" s="16">
        <v>120.0</v>
      </c>
    </row>
    <row r="21">
      <c r="A21" s="15" t="s">
        <v>215</v>
      </c>
      <c r="B21" s="16">
        <v>1.0</v>
      </c>
      <c r="C21" s="16">
        <v>151.0</v>
      </c>
      <c r="D21" s="16">
        <v>11.0</v>
      </c>
      <c r="E21" s="16">
        <v>4.0</v>
      </c>
      <c r="F21" s="16">
        <v>1.0</v>
      </c>
      <c r="G21" s="16">
        <v>3.0</v>
      </c>
      <c r="H21" s="16">
        <v>7.0</v>
      </c>
      <c r="I21" s="16">
        <v>2.0</v>
      </c>
      <c r="J21" s="16">
        <v>2.0</v>
      </c>
      <c r="K21" s="16">
        <v>0.0</v>
      </c>
      <c r="L21" s="16">
        <v>151.0</v>
      </c>
    </row>
  </sheetData>
  <drawing r:id="rId1"/>
</worksheet>
</file>